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3" documentId="11_ED1FE29487ED0DFC9249C96108F3281F6518377C" xr6:coauthVersionLast="47" xr6:coauthVersionMax="47" xr10:uidLastSave="{25E25DB3-E555-47DD-9393-5BA50A4B6AE8}"/>
  <bookViews>
    <workbookView xWindow="-120" yWindow="-120" windowWidth="20730" windowHeight="1116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/>
  <c r="A29" i="1" l="1"/>
  <c r="A28" i="1"/>
  <c r="A27" i="1"/>
  <c r="A22" i="1"/>
  <c r="A21" i="1"/>
  <c r="A17" i="1"/>
  <c r="A16" i="1"/>
  <c r="A15" i="1"/>
  <c r="A37" i="1" l="1"/>
  <c r="J29" i="1"/>
  <c r="I29" i="1"/>
  <c r="H29" i="1"/>
  <c r="G29" i="1"/>
  <c r="F29" i="1"/>
  <c r="E29" i="1"/>
  <c r="D29" i="1"/>
  <c r="C29" i="1"/>
  <c r="B29" i="1"/>
  <c r="J28" i="1"/>
  <c r="I28" i="1"/>
  <c r="H28" i="1"/>
  <c r="G28" i="1"/>
  <c r="F28" i="1"/>
  <c r="E28" i="1"/>
  <c r="D28" i="1"/>
  <c r="C28" i="1"/>
  <c r="B28" i="1"/>
  <c r="J27" i="1"/>
  <c r="I27" i="1"/>
  <c r="H27" i="1"/>
  <c r="G27" i="1"/>
  <c r="F27" i="1"/>
  <c r="E27" i="1"/>
  <c r="D27" i="1"/>
  <c r="C27" i="1"/>
  <c r="B27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M3" i="1"/>
  <c r="L3" i="1"/>
  <c r="K3" i="1"/>
  <c r="L23" i="1" l="1"/>
  <c r="M23" i="1"/>
  <c r="M15" i="1"/>
  <c r="L22" i="1"/>
  <c r="M22" i="1"/>
  <c r="M16" i="1"/>
  <c r="M29" i="1"/>
  <c r="C30" i="1"/>
  <c r="C36" i="1" s="1"/>
  <c r="L16" i="1"/>
  <c r="H24" i="1"/>
  <c r="H35" i="1" s="1"/>
  <c r="M28" i="1"/>
  <c r="L29" i="1"/>
  <c r="K23" i="1"/>
  <c r="M17" i="1"/>
  <c r="D24" i="1"/>
  <c r="D35" i="1" s="1"/>
  <c r="J30" i="1"/>
  <c r="J36" i="1" s="1"/>
  <c r="F30" i="1"/>
  <c r="F36" i="1" s="1"/>
  <c r="J18" i="1"/>
  <c r="J34" i="1" s="1"/>
  <c r="B18" i="1"/>
  <c r="B34" i="1" s="1"/>
  <c r="K16" i="1"/>
  <c r="I30" i="1"/>
  <c r="I36" i="1" s="1"/>
  <c r="L27" i="1"/>
  <c r="E24" i="1"/>
  <c r="E35" i="1" s="1"/>
  <c r="G30" i="1"/>
  <c r="G36" i="1" s="1"/>
  <c r="K28" i="1"/>
  <c r="D18" i="1"/>
  <c r="D34" i="1" s="1"/>
  <c r="F24" i="1"/>
  <c r="F35" i="1" s="1"/>
  <c r="H30" i="1"/>
  <c r="H36" i="1" s="1"/>
  <c r="E18" i="1"/>
  <c r="E34" i="1" s="1"/>
  <c r="L17" i="1"/>
  <c r="G24" i="1"/>
  <c r="G35" i="1" s="1"/>
  <c r="K22" i="1"/>
  <c r="K29" i="1"/>
  <c r="F18" i="1"/>
  <c r="F34" i="1" s="1"/>
  <c r="G18" i="1"/>
  <c r="G34" i="1" s="1"/>
  <c r="I24" i="1"/>
  <c r="I35" i="1" s="1"/>
  <c r="M27" i="1"/>
  <c r="H18" i="1"/>
  <c r="H34" i="1" s="1"/>
  <c r="K17" i="1"/>
  <c r="L21" i="1"/>
  <c r="J24" i="1"/>
  <c r="J35" i="1" s="1"/>
  <c r="D30" i="1"/>
  <c r="D36" i="1" s="1"/>
  <c r="L28" i="1"/>
  <c r="I18" i="1"/>
  <c r="I34" i="1" s="1"/>
  <c r="C24" i="1"/>
  <c r="M21" i="1"/>
  <c r="E30" i="1"/>
  <c r="E36" i="1" s="1"/>
  <c r="B24" i="1"/>
  <c r="K21" i="1"/>
  <c r="B30" i="1"/>
  <c r="K15" i="1"/>
  <c r="C18" i="1"/>
  <c r="K27" i="1"/>
  <c r="L15" i="1"/>
  <c r="E37" i="1" l="1"/>
  <c r="G37" i="1"/>
  <c r="J37" i="1"/>
  <c r="F37" i="1"/>
  <c r="I37" i="1"/>
  <c r="D37" i="1"/>
  <c r="H37" i="1"/>
  <c r="M30" i="1"/>
  <c r="K24" i="1"/>
  <c r="L18" i="1"/>
  <c r="C35" i="1"/>
  <c r="M35" i="1" s="1"/>
  <c r="M24" i="1"/>
  <c r="K18" i="1"/>
  <c r="M36" i="1"/>
  <c r="B36" i="1"/>
  <c r="L36" i="1" s="1"/>
  <c r="L30" i="1"/>
  <c r="B35" i="1"/>
  <c r="L24" i="1"/>
  <c r="K30" i="1"/>
  <c r="M18" i="1"/>
  <c r="C34" i="1"/>
  <c r="B37" i="1" l="1"/>
  <c r="L34" i="1"/>
  <c r="C37" i="1"/>
  <c r="M37" i="1" s="1"/>
  <c r="L35" i="1"/>
  <c r="K36" i="1"/>
  <c r="K35" i="1"/>
  <c r="K34" i="1"/>
  <c r="M34" i="1"/>
  <c r="L37" i="1" l="1"/>
  <c r="K37" i="1"/>
</calcChain>
</file>

<file path=xl/sharedStrings.xml><?xml version="1.0" encoding="utf-8"?>
<sst xmlns="http://schemas.openxmlformats.org/spreadsheetml/2006/main" count="105" uniqueCount="45">
  <si>
    <t>Column Rows</t>
  </si>
  <si>
    <t>CHEMICAL COMPOSITION (%)</t>
  </si>
  <si>
    <t>Modullie</t>
  </si>
  <si>
    <t>Remarks</t>
  </si>
  <si>
    <r>
      <t>SiO</t>
    </r>
    <r>
      <rPr>
        <i/>
        <vertAlign val="subscript"/>
        <sz val="12"/>
        <color theme="1"/>
        <rFont val="Arial"/>
        <family val="2"/>
      </rPr>
      <t>2</t>
    </r>
  </si>
  <si>
    <r>
      <t>Al</t>
    </r>
    <r>
      <rPr>
        <i/>
        <vertAlign val="subscript"/>
        <sz val="12"/>
        <color theme="1"/>
        <rFont val="Arial"/>
        <family val="2"/>
      </rPr>
      <t>2</t>
    </r>
    <r>
      <rPr>
        <i/>
        <sz val="12"/>
        <color theme="1"/>
        <rFont val="Arial"/>
        <family val="2"/>
      </rPr>
      <t>O</t>
    </r>
    <r>
      <rPr>
        <i/>
        <vertAlign val="subscript"/>
        <sz val="12"/>
        <color theme="1"/>
        <rFont val="Arial"/>
        <family val="2"/>
      </rPr>
      <t>3</t>
    </r>
  </si>
  <si>
    <r>
      <t>Fe</t>
    </r>
    <r>
      <rPr>
        <i/>
        <vertAlign val="subscript"/>
        <sz val="12"/>
        <color theme="1"/>
        <rFont val="Arial"/>
        <family val="2"/>
      </rPr>
      <t>2</t>
    </r>
    <r>
      <rPr>
        <i/>
        <sz val="12"/>
        <color theme="1"/>
        <rFont val="Arial"/>
        <family val="2"/>
      </rPr>
      <t>O</t>
    </r>
    <r>
      <rPr>
        <i/>
        <vertAlign val="subscript"/>
        <sz val="12"/>
        <color theme="1"/>
        <rFont val="Arial"/>
        <family val="2"/>
      </rPr>
      <t>3</t>
    </r>
  </si>
  <si>
    <t>CaO</t>
  </si>
  <si>
    <t>MgO</t>
  </si>
  <si>
    <r>
      <t>SO</t>
    </r>
    <r>
      <rPr>
        <i/>
        <vertAlign val="subscript"/>
        <sz val="12"/>
        <color theme="1"/>
        <rFont val="Arial"/>
        <family val="2"/>
      </rPr>
      <t>3</t>
    </r>
  </si>
  <si>
    <r>
      <t>K</t>
    </r>
    <r>
      <rPr>
        <i/>
        <vertAlign val="subscript"/>
        <sz val="12"/>
        <color theme="1"/>
        <rFont val="Arial"/>
        <family val="2"/>
      </rPr>
      <t>2</t>
    </r>
    <r>
      <rPr>
        <i/>
        <sz val="12"/>
        <color theme="1"/>
        <rFont val="Arial"/>
        <family val="2"/>
      </rPr>
      <t>O</t>
    </r>
  </si>
  <si>
    <r>
      <t>Na</t>
    </r>
    <r>
      <rPr>
        <i/>
        <vertAlign val="subscript"/>
        <sz val="12"/>
        <color theme="1"/>
        <rFont val="Arial"/>
        <family val="2"/>
      </rPr>
      <t>2</t>
    </r>
    <r>
      <rPr>
        <i/>
        <sz val="12"/>
        <color theme="1"/>
        <rFont val="Arial"/>
        <family val="2"/>
      </rPr>
      <t>O</t>
    </r>
  </si>
  <si>
    <t>CL</t>
  </si>
  <si>
    <t>LSF</t>
  </si>
  <si>
    <t>SM</t>
  </si>
  <si>
    <t>AM</t>
  </si>
  <si>
    <t>A1-2</t>
  </si>
  <si>
    <t>Avg of 2 Mts</t>
  </si>
  <si>
    <t>A1-5</t>
  </si>
  <si>
    <t>Avg of 3 Mts</t>
  </si>
  <si>
    <t>A2-2</t>
  </si>
  <si>
    <t>A2-5</t>
  </si>
  <si>
    <t>A3-2</t>
  </si>
  <si>
    <t xml:space="preserve">     </t>
  </si>
  <si>
    <t>A3-5</t>
  </si>
  <si>
    <t xml:space="preserve">        </t>
  </si>
  <si>
    <t>Upper layer 2 m</t>
  </si>
  <si>
    <t>Average</t>
  </si>
  <si>
    <t>Middle layer 3 m</t>
  </si>
  <si>
    <t>Final Average</t>
  </si>
  <si>
    <t>Thickness</t>
  </si>
  <si>
    <r>
      <t>SiO</t>
    </r>
    <r>
      <rPr>
        <i/>
        <vertAlign val="subscript"/>
        <sz val="12"/>
        <color theme="1"/>
        <rFont val="Calibri"/>
        <family val="2"/>
        <scheme val="minor"/>
      </rPr>
      <t>2</t>
    </r>
  </si>
  <si>
    <r>
      <t>Al</t>
    </r>
    <r>
      <rPr>
        <i/>
        <vertAlign val="subscript"/>
        <sz val="12"/>
        <color theme="1"/>
        <rFont val="Calibri"/>
        <family val="2"/>
        <scheme val="minor"/>
      </rPr>
      <t>2</t>
    </r>
    <r>
      <rPr>
        <i/>
        <sz val="12"/>
        <color theme="1"/>
        <rFont val="Calibri"/>
        <family val="2"/>
        <scheme val="minor"/>
      </rPr>
      <t>O</t>
    </r>
    <r>
      <rPr>
        <i/>
        <vertAlign val="subscript"/>
        <sz val="12"/>
        <color theme="1"/>
        <rFont val="Calibri"/>
        <family val="2"/>
        <scheme val="minor"/>
      </rPr>
      <t>3</t>
    </r>
  </si>
  <si>
    <r>
      <t>Fe</t>
    </r>
    <r>
      <rPr>
        <i/>
        <vertAlign val="subscript"/>
        <sz val="12"/>
        <color theme="1"/>
        <rFont val="Calibri"/>
        <family val="2"/>
        <scheme val="minor"/>
      </rPr>
      <t>2</t>
    </r>
    <r>
      <rPr>
        <i/>
        <sz val="12"/>
        <color theme="1"/>
        <rFont val="Calibri"/>
        <family val="2"/>
        <scheme val="minor"/>
      </rPr>
      <t>O</t>
    </r>
    <r>
      <rPr>
        <i/>
        <vertAlign val="subscript"/>
        <sz val="12"/>
        <color theme="1"/>
        <rFont val="Calibri"/>
        <family val="2"/>
        <scheme val="minor"/>
      </rPr>
      <t>3</t>
    </r>
  </si>
  <si>
    <r>
      <t>SO</t>
    </r>
    <r>
      <rPr>
        <i/>
        <vertAlign val="subscript"/>
        <sz val="12"/>
        <color theme="1"/>
        <rFont val="Calibri"/>
        <family val="2"/>
        <scheme val="minor"/>
      </rPr>
      <t>3</t>
    </r>
  </si>
  <si>
    <t>K2O</t>
  </si>
  <si>
    <t>Na2O</t>
  </si>
  <si>
    <t>2 Meter Upper</t>
  </si>
  <si>
    <t>3 Meter Middle</t>
  </si>
  <si>
    <t>A3-6.5</t>
  </si>
  <si>
    <t>Avg of 1.5 Mts</t>
  </si>
  <si>
    <t>A1-6.5</t>
  </si>
  <si>
    <t>A2-6.5</t>
  </si>
  <si>
    <t>1.5 Meter Lower</t>
  </si>
  <si>
    <t>Lower layer 1.5 m(5-6.5m)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</si>
</sst>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i/>
      <sz val="12"/>
      <color theme="1"/>
      <name val="Arial"/>
      <family val="2"/>
    </font>
    <font>
      <i/>
      <vertAlign val="subscript"/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i/>
      <sz val="16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vertAlign val="subscript"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9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2" fontId="3" fillId="2" borderId="13" xfId="0" applyNumberFormat="1" applyFont="1" applyFill="1" applyBorder="1" applyAlignment="1">
      <alignment horizontal="center" vertical="center" shrinkToFit="1"/>
    </xf>
    <xf numFmtId="2" fontId="3" fillId="2" borderId="14" xfId="0" applyNumberFormat="1" applyFont="1" applyFill="1" applyBorder="1" applyAlignment="1">
      <alignment horizontal="center" vertical="center" shrinkToFit="1"/>
    </xf>
    <xf numFmtId="2" fontId="3" fillId="2" borderId="15" xfId="0" applyNumberFormat="1" applyFont="1" applyFill="1" applyBorder="1" applyAlignment="1">
      <alignment horizontal="center" vertical="center" shrinkToFi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shrinkToFit="1"/>
    </xf>
    <xf numFmtId="2" fontId="3" fillId="2" borderId="12" xfId="0" applyNumberFormat="1" applyFont="1" applyFill="1" applyBorder="1" applyAlignment="1">
      <alignment horizontal="center" vertical="center" shrinkToFit="1"/>
    </xf>
    <xf numFmtId="0" fontId="4" fillId="2" borderId="19" xfId="0" applyFont="1" applyFill="1" applyBorder="1" applyAlignment="1">
      <alignment horizontal="center" vertical="center" wrapText="1"/>
    </xf>
    <xf numFmtId="2" fontId="4" fillId="2" borderId="21" xfId="0" applyNumberFormat="1" applyFont="1" applyFill="1" applyBorder="1" applyAlignment="1">
      <alignment horizontal="center" vertical="center" wrapText="1"/>
    </xf>
    <xf numFmtId="2" fontId="4" fillId="2" borderId="22" xfId="0" applyNumberFormat="1" applyFont="1" applyFill="1" applyBorder="1" applyAlignment="1">
      <alignment horizontal="center" vertical="center" wrapText="1"/>
    </xf>
    <xf numFmtId="2" fontId="4" fillId="2" borderId="13" xfId="0" applyNumberFormat="1" applyFont="1" applyFill="1" applyBorder="1" applyAlignment="1">
      <alignment horizontal="center" vertical="center" wrapText="1"/>
    </xf>
    <xf numFmtId="2" fontId="4" fillId="2" borderId="14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2" fontId="4" fillId="2" borderId="3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2" fontId="4" fillId="2" borderId="15" xfId="0" applyNumberFormat="1" applyFont="1" applyFill="1" applyBorder="1" applyAlignment="1">
      <alignment horizontal="center" vertical="center" wrapText="1"/>
    </xf>
    <xf numFmtId="2" fontId="4" fillId="2" borderId="12" xfId="0" applyNumberFormat="1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 shrinkToFit="1"/>
    </xf>
    <xf numFmtId="2" fontId="1" fillId="2" borderId="1" xfId="0" applyNumberFormat="1" applyFont="1" applyFill="1" applyBorder="1" applyAlignment="1">
      <alignment horizontal="center" vertical="center" shrinkToFit="1"/>
    </xf>
    <xf numFmtId="2" fontId="1" fillId="2" borderId="21" xfId="0" applyNumberFormat="1" applyFont="1" applyFill="1" applyBorder="1" applyAlignment="1">
      <alignment horizontal="center" vertical="center" shrinkToFit="1"/>
    </xf>
    <xf numFmtId="2" fontId="1" fillId="2" borderId="19" xfId="0" applyNumberFormat="1" applyFont="1" applyFill="1" applyBorder="1" applyAlignment="1">
      <alignment horizontal="center" vertical="center" shrinkToFit="1"/>
    </xf>
    <xf numFmtId="2" fontId="1" fillId="2" borderId="23" xfId="0" applyNumberFormat="1" applyFont="1" applyFill="1" applyBorder="1" applyAlignment="1">
      <alignment horizontal="center" vertical="center" shrinkToFit="1"/>
    </xf>
    <xf numFmtId="2" fontId="1" fillId="2" borderId="27" xfId="0" applyNumberFormat="1" applyFont="1" applyFill="1" applyBorder="1" applyAlignment="1">
      <alignment horizontal="center" vertical="center" shrinkToFit="1"/>
    </xf>
    <xf numFmtId="2" fontId="6" fillId="2" borderId="16" xfId="0" applyNumberFormat="1" applyFont="1" applyFill="1" applyBorder="1" applyAlignment="1">
      <alignment horizontal="center" vertical="center" wrapText="1"/>
    </xf>
    <xf numFmtId="2" fontId="6" fillId="2" borderId="23" xfId="0" applyNumberFormat="1" applyFont="1" applyFill="1" applyBorder="1" applyAlignment="1">
      <alignment horizontal="center" vertical="center" wrapText="1"/>
    </xf>
    <xf numFmtId="2" fontId="6" fillId="2" borderId="13" xfId="0" applyNumberFormat="1" applyFont="1" applyFill="1" applyBorder="1" applyAlignment="1">
      <alignment horizontal="center" vertical="center" wrapText="1"/>
    </xf>
    <xf numFmtId="2" fontId="10" fillId="2" borderId="11" xfId="0" applyNumberFormat="1" applyFont="1" applyFill="1" applyBorder="1" applyAlignment="1">
      <alignment horizontal="center" vertical="center"/>
    </xf>
    <xf numFmtId="2" fontId="6" fillId="2" borderId="21" xfId="0" applyNumberFormat="1" applyFont="1" applyFill="1" applyBorder="1" applyAlignment="1">
      <alignment horizontal="center" vertical="center" wrapText="1"/>
    </xf>
    <xf numFmtId="2" fontId="6" fillId="2" borderId="14" xfId="0" applyNumberFormat="1" applyFont="1" applyFill="1" applyBorder="1" applyAlignment="1">
      <alignment horizontal="center" vertical="center" wrapText="1"/>
    </xf>
    <xf numFmtId="2" fontId="10" fillId="2" borderId="42" xfId="0" applyNumberFormat="1" applyFont="1" applyFill="1" applyBorder="1" applyAlignment="1">
      <alignment horizontal="center" vertical="center"/>
    </xf>
    <xf numFmtId="2" fontId="10" fillId="2" borderId="43" xfId="0" applyNumberFormat="1" applyFont="1" applyFill="1" applyBorder="1" applyAlignment="1">
      <alignment horizontal="center" vertical="center"/>
    </xf>
    <xf numFmtId="2" fontId="10" fillId="2" borderId="44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 shrinkToFit="1"/>
    </xf>
    <xf numFmtId="2" fontId="1" fillId="2" borderId="17" xfId="0" applyNumberFormat="1" applyFont="1" applyFill="1" applyBorder="1" applyAlignment="1">
      <alignment horizontal="center" vertical="center" shrinkToFit="1"/>
    </xf>
    <xf numFmtId="2" fontId="1" fillId="2" borderId="14" xfId="0" applyNumberFormat="1" applyFont="1" applyFill="1" applyBorder="1" applyAlignment="1">
      <alignment horizontal="center" vertical="center" shrinkToFit="1"/>
    </xf>
    <xf numFmtId="2" fontId="1" fillId="2" borderId="9" xfId="0" applyNumberFormat="1" applyFont="1" applyFill="1" applyBorder="1" applyAlignment="1">
      <alignment horizontal="center" vertical="center" shrinkToFit="1"/>
    </xf>
    <xf numFmtId="2" fontId="6" fillId="2" borderId="17" xfId="0" applyNumberFormat="1" applyFont="1" applyFill="1" applyBorder="1" applyAlignment="1">
      <alignment horizontal="center" vertical="center"/>
    </xf>
    <xf numFmtId="2" fontId="6" fillId="2" borderId="14" xfId="0" applyNumberFormat="1" applyFont="1" applyFill="1" applyBorder="1" applyAlignment="1">
      <alignment horizontal="center" vertical="center"/>
    </xf>
    <xf numFmtId="2" fontId="6" fillId="2" borderId="25" xfId="0" applyNumberFormat="1" applyFont="1" applyFill="1" applyBorder="1" applyAlignment="1">
      <alignment horizontal="center" vertical="center" wrapText="1"/>
    </xf>
    <xf numFmtId="2" fontId="6" fillId="2" borderId="26" xfId="0" applyNumberFormat="1" applyFont="1" applyFill="1" applyBorder="1" applyAlignment="1">
      <alignment horizontal="center" vertical="center" wrapText="1"/>
    </xf>
    <xf numFmtId="2" fontId="6" fillId="2" borderId="3" xfId="0" applyNumberFormat="1" applyFont="1" applyFill="1" applyBorder="1" applyAlignment="1">
      <alignment horizontal="center" vertical="center" wrapText="1"/>
    </xf>
    <xf numFmtId="2" fontId="6" fillId="2" borderId="19" xfId="0" applyNumberFormat="1" applyFont="1" applyFill="1" applyBorder="1" applyAlignment="1">
      <alignment horizontal="center" vertical="center" wrapText="1"/>
    </xf>
    <xf numFmtId="2" fontId="4" fillId="2" borderId="11" xfId="0" applyNumberFormat="1" applyFont="1" applyFill="1" applyBorder="1" applyAlignment="1">
      <alignment horizontal="center" vertical="center" wrapText="1"/>
    </xf>
    <xf numFmtId="2" fontId="6" fillId="2" borderId="17" xfId="0" applyNumberFormat="1" applyFont="1" applyFill="1" applyBorder="1" applyAlignment="1">
      <alignment horizontal="center" vertical="center" wrapText="1"/>
    </xf>
    <xf numFmtId="2" fontId="4" fillId="2" borderId="23" xfId="0" applyNumberFormat="1" applyFont="1" applyFill="1" applyBorder="1" applyAlignment="1">
      <alignment horizontal="center" vertical="center" wrapText="1"/>
    </xf>
    <xf numFmtId="2" fontId="1" fillId="2" borderId="22" xfId="0" applyNumberFormat="1" applyFont="1" applyFill="1" applyBorder="1" applyAlignment="1">
      <alignment horizontal="center" vertical="center" shrinkToFit="1"/>
    </xf>
    <xf numFmtId="2" fontId="10" fillId="2" borderId="23" xfId="0" applyNumberFormat="1" applyFont="1" applyFill="1" applyBorder="1" applyAlignment="1">
      <alignment horizontal="center" vertical="center"/>
    </xf>
    <xf numFmtId="2" fontId="10" fillId="2" borderId="35" xfId="0" applyNumberFormat="1" applyFont="1" applyFill="1" applyBorder="1" applyAlignment="1">
      <alignment horizontal="center" vertical="center"/>
    </xf>
    <xf numFmtId="2" fontId="6" fillId="2" borderId="13" xfId="0" applyNumberFormat="1" applyFont="1" applyFill="1" applyBorder="1" applyAlignment="1">
      <alignment horizontal="center" vertical="center"/>
    </xf>
    <xf numFmtId="2" fontId="6" fillId="2" borderId="15" xfId="0" applyNumberFormat="1" applyFont="1" applyFill="1" applyBorder="1" applyAlignment="1">
      <alignment horizontal="center" vertical="center"/>
    </xf>
    <xf numFmtId="2" fontId="6" fillId="2" borderId="48" xfId="0" applyNumberFormat="1" applyFont="1" applyFill="1" applyBorder="1" applyAlignment="1">
      <alignment horizontal="center" vertical="center" wrapText="1"/>
    </xf>
    <xf numFmtId="2" fontId="6" fillId="2" borderId="20" xfId="0" applyNumberFormat="1" applyFont="1" applyFill="1" applyBorder="1" applyAlignment="1">
      <alignment horizontal="center" vertical="center" wrapText="1"/>
    </xf>
    <xf numFmtId="2" fontId="6" fillId="2" borderId="33" xfId="0" applyNumberFormat="1" applyFont="1" applyFill="1" applyBorder="1" applyAlignment="1">
      <alignment horizontal="center" vertical="center" wrapText="1"/>
    </xf>
    <xf numFmtId="2" fontId="6" fillId="2" borderId="34" xfId="0" applyNumberFormat="1" applyFont="1" applyFill="1" applyBorder="1" applyAlignment="1">
      <alignment horizontal="center" vertical="center" wrapText="1"/>
    </xf>
    <xf numFmtId="2" fontId="6" fillId="2" borderId="35" xfId="0" applyNumberFormat="1" applyFont="1" applyFill="1" applyBorder="1" applyAlignment="1">
      <alignment horizontal="center" vertical="center" wrapText="1"/>
    </xf>
    <xf numFmtId="2" fontId="6" fillId="2" borderId="36" xfId="0" applyNumberFormat="1" applyFont="1" applyFill="1" applyBorder="1" applyAlignment="1">
      <alignment horizontal="center" vertical="center" wrapText="1"/>
    </xf>
    <xf numFmtId="2" fontId="1" fillId="2" borderId="4" xfId="0" applyNumberFormat="1" applyFont="1" applyFill="1" applyBorder="1" applyAlignment="1">
      <alignment horizontal="center" vertical="center" shrinkToFit="1"/>
    </xf>
    <xf numFmtId="2" fontId="1" fillId="2" borderId="18" xfId="0" applyNumberFormat="1" applyFont="1" applyFill="1" applyBorder="1" applyAlignment="1">
      <alignment horizontal="center" vertical="center" shrinkToFit="1"/>
    </xf>
    <xf numFmtId="2" fontId="1" fillId="2" borderId="10" xfId="0" applyNumberFormat="1" applyFont="1" applyFill="1" applyBorder="1" applyAlignment="1">
      <alignment horizontal="center" vertical="center" shrinkToFit="1"/>
    </xf>
    <xf numFmtId="2" fontId="6" fillId="2" borderId="22" xfId="0" applyNumberFormat="1" applyFont="1" applyFill="1" applyBorder="1" applyAlignment="1">
      <alignment horizontal="center" vertical="center" wrapText="1"/>
    </xf>
    <xf numFmtId="2" fontId="6" fillId="2" borderId="18" xfId="0" applyNumberFormat="1" applyFont="1" applyFill="1" applyBorder="1" applyAlignment="1">
      <alignment horizontal="center" vertical="center"/>
    </xf>
    <xf numFmtId="2" fontId="6" fillId="2" borderId="6" xfId="0" applyNumberFormat="1" applyFont="1" applyFill="1" applyBorder="1" applyAlignment="1">
      <alignment horizontal="center" vertical="center" wrapText="1"/>
    </xf>
    <xf numFmtId="2" fontId="6" fillId="2" borderId="47" xfId="0" applyNumberFormat="1" applyFont="1" applyFill="1" applyBorder="1" applyAlignment="1">
      <alignment horizontal="center" vertical="center" wrapText="1"/>
    </xf>
    <xf numFmtId="2" fontId="6" fillId="2" borderId="4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 shrinkToFi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0" xfId="0" applyFill="1"/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shrinkToFit="1"/>
    </xf>
    <xf numFmtId="0" fontId="1" fillId="2" borderId="10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7" xfId="0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shrinkToFit="1"/>
    </xf>
    <xf numFmtId="2" fontId="1" fillId="2" borderId="8" xfId="0" applyNumberFormat="1" applyFont="1" applyFill="1" applyBorder="1" applyAlignment="1">
      <alignment horizontal="center" vertical="center" shrinkToFit="1"/>
    </xf>
    <xf numFmtId="2" fontId="3" fillId="2" borderId="11" xfId="0" applyNumberFormat="1" applyFont="1" applyFill="1" applyBorder="1" applyAlignment="1">
      <alignment horizontal="center" vertical="center" shrinkToFit="1"/>
    </xf>
    <xf numFmtId="2" fontId="6" fillId="2" borderId="24" xfId="0" applyNumberFormat="1" applyFont="1" applyFill="1" applyBorder="1" applyAlignment="1">
      <alignment horizontal="center" vertical="center" wrapText="1"/>
    </xf>
    <xf numFmtId="2" fontId="6" fillId="2" borderId="5" xfId="0" applyNumberFormat="1" applyFont="1" applyFill="1" applyBorder="1" applyAlignment="1">
      <alignment horizontal="center" vertical="center" wrapText="1"/>
    </xf>
    <xf numFmtId="2" fontId="4" fillId="2" borderId="5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1" fillId="2" borderId="28" xfId="0" applyFont="1" applyFill="1" applyBorder="1" applyAlignment="1">
      <alignment horizontal="center" vertical="center" wrapText="1" shrinkToFi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textRotation="90" shrinkToFit="1"/>
    </xf>
    <xf numFmtId="0" fontId="1" fillId="2" borderId="32" xfId="0" applyFont="1" applyFill="1" applyBorder="1" applyAlignment="1">
      <alignment horizontal="center" vertical="center" wrapText="1" shrinkToFit="1"/>
    </xf>
    <xf numFmtId="0" fontId="5" fillId="2" borderId="16" xfId="0" applyFont="1" applyFill="1" applyBorder="1" applyAlignment="1">
      <alignment horizontal="center" vertical="center" textRotation="90" shrinkToFi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2" fontId="6" fillId="2" borderId="18" xfId="0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2" fontId="6" fillId="2" borderId="7" xfId="0" applyNumberFormat="1" applyFont="1" applyFill="1" applyBorder="1" applyAlignment="1">
      <alignment horizontal="center" vertical="center" wrapText="1"/>
    </xf>
    <xf numFmtId="2" fontId="6" fillId="2" borderId="11" xfId="0" applyNumberFormat="1" applyFont="1" applyFill="1" applyBorder="1" applyAlignment="1">
      <alignment horizontal="center" vertical="center" wrapText="1"/>
    </xf>
    <xf numFmtId="2" fontId="6" fillId="2" borderId="9" xfId="0" applyNumberFormat="1" applyFont="1" applyFill="1" applyBorder="1" applyAlignment="1">
      <alignment horizontal="center" vertical="center" wrapText="1"/>
    </xf>
    <xf numFmtId="2" fontId="6" fillId="2" borderId="10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textRotation="90" shrinkToFit="1"/>
    </xf>
    <xf numFmtId="0" fontId="1" fillId="2" borderId="41" xfId="0" applyFont="1" applyFill="1" applyBorder="1" applyAlignment="1">
      <alignment horizontal="center" vertical="center" wrapText="1" shrinkToFi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left"/>
    </xf>
    <xf numFmtId="2" fontId="6" fillId="2" borderId="27" xfId="0" applyNumberFormat="1" applyFont="1" applyFill="1" applyBorder="1" applyAlignment="1">
      <alignment horizontal="center" vertical="center" wrapText="1"/>
    </xf>
    <xf numFmtId="2" fontId="6" fillId="2" borderId="15" xfId="0" applyNumberFormat="1" applyFont="1" applyFill="1" applyBorder="1" applyAlignment="1">
      <alignment horizontal="center" vertical="center" wrapText="1"/>
    </xf>
    <xf numFmtId="2" fontId="6" fillId="2" borderId="12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textRotation="90" shrinkToFit="1"/>
    </xf>
    <xf numFmtId="0" fontId="8" fillId="2" borderId="16" xfId="0" applyFont="1" applyFill="1" applyBorder="1" applyAlignment="1">
      <alignment horizontal="center" vertical="center" textRotation="90" shrinkToFit="1"/>
    </xf>
    <xf numFmtId="0" fontId="7" fillId="2" borderId="3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textRotation="90" shrinkToFit="1"/>
    </xf>
    <xf numFmtId="0" fontId="9" fillId="2" borderId="0" xfId="0" applyFont="1" applyFill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 shrinkToFit="1"/>
    </xf>
    <xf numFmtId="0" fontId="10" fillId="2" borderId="39" xfId="0" applyFont="1" applyFill="1" applyBorder="1" applyAlignment="1">
      <alignment horizontal="center" vertical="center" shrinkToFit="1"/>
    </xf>
    <xf numFmtId="0" fontId="10" fillId="2" borderId="40" xfId="0" applyFont="1" applyFill="1" applyBorder="1" applyAlignment="1">
      <alignment horizontal="center" vertical="center" shrinkToFit="1"/>
    </xf>
    <xf numFmtId="0" fontId="10" fillId="2" borderId="45" xfId="0" applyFont="1" applyFill="1" applyBorder="1" applyAlignment="1">
      <alignment horizontal="center" vertical="center" shrinkToFit="1"/>
    </xf>
    <xf numFmtId="0" fontId="10" fillId="2" borderId="37" xfId="0" applyFont="1" applyFill="1" applyBorder="1" applyAlignment="1">
      <alignment horizontal="center" vertical="center" shrinkToFit="1"/>
    </xf>
    <xf numFmtId="164" fontId="10" fillId="2" borderId="19" xfId="0" applyNumberFormat="1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vertical="center"/>
    </xf>
    <xf numFmtId="164" fontId="10" fillId="2" borderId="41" xfId="0" applyNumberFormat="1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vertical="center"/>
    </xf>
    <xf numFmtId="164" fontId="10" fillId="2" borderId="7" xfId="0" applyNumberFormat="1" applyFont="1" applyFill="1" applyBorder="1" applyAlignment="1">
      <alignment horizontal="center" vertical="center"/>
    </xf>
    <xf numFmtId="164" fontId="10" fillId="2" borderId="32" xfId="0" applyNumberFormat="1" applyFont="1" applyFill="1" applyBorder="1" applyAlignment="1">
      <alignment horizontal="center" vertical="center"/>
    </xf>
    <xf numFmtId="2" fontId="10" fillId="2" borderId="45" xfId="0" applyNumberFormat="1" applyFont="1" applyFill="1" applyBorder="1" applyAlignment="1">
      <alignment horizontal="center" vertical="center"/>
    </xf>
    <xf numFmtId="2" fontId="10" fillId="2" borderId="3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topLeftCell="A13" workbookViewId="0">
      <selection activeCell="C27" sqref="C27"/>
    </sheetView>
  </sheetViews>
  <sheetFormatPr defaultRowHeight="15" x14ac:dyDescent="0.25"/>
  <cols>
    <col min="1" max="1" width="9.140625" style="77"/>
    <col min="2" max="2" width="9.85546875" style="77" bestFit="1" customWidth="1"/>
    <col min="3" max="13" width="9.140625" style="77"/>
    <col min="14" max="14" width="20" style="77" customWidth="1"/>
    <col min="15" max="16384" width="9.140625" style="77"/>
  </cols>
  <sheetData>
    <row r="1" spans="1:18" x14ac:dyDescent="0.25">
      <c r="A1" s="71" t="s">
        <v>0</v>
      </c>
      <c r="B1" s="72" t="s">
        <v>1</v>
      </c>
      <c r="C1" s="73"/>
      <c r="D1" s="73"/>
      <c r="E1" s="73"/>
      <c r="F1" s="73"/>
      <c r="G1" s="73"/>
      <c r="H1" s="73"/>
      <c r="I1" s="73"/>
      <c r="J1" s="74"/>
      <c r="K1" s="75" t="s">
        <v>2</v>
      </c>
      <c r="L1" s="73"/>
      <c r="M1" s="76"/>
      <c r="N1" s="71" t="s">
        <v>3</v>
      </c>
    </row>
    <row r="2" spans="1:18" ht="20.25" thickBot="1" x14ac:dyDescent="0.3">
      <c r="A2" s="78"/>
      <c r="B2" s="79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80" t="s">
        <v>12</v>
      </c>
      <c r="K2" s="81" t="s">
        <v>13</v>
      </c>
      <c r="L2" s="1" t="s">
        <v>14</v>
      </c>
      <c r="M2" s="82" t="s">
        <v>15</v>
      </c>
      <c r="N2" s="83"/>
    </row>
    <row r="3" spans="1:18" ht="20.100000000000001" customHeight="1" x14ac:dyDescent="0.25">
      <c r="A3" s="2" t="s">
        <v>16</v>
      </c>
      <c r="B3" s="84">
        <v>13.76</v>
      </c>
      <c r="C3" s="39">
        <v>1.29</v>
      </c>
      <c r="D3" s="39">
        <v>1.1399999999999999</v>
      </c>
      <c r="E3" s="39">
        <v>38.840000000000003</v>
      </c>
      <c r="F3" s="39">
        <v>7.35</v>
      </c>
      <c r="G3" s="39">
        <v>0.61</v>
      </c>
      <c r="H3" s="39">
        <v>0.11</v>
      </c>
      <c r="I3" s="39">
        <v>0.05</v>
      </c>
      <c r="J3" s="63">
        <v>0.02</v>
      </c>
      <c r="K3" s="3">
        <f t="shared" ref="K3:K11" si="0">E3/(2.8*B3+1.18*C3+0.65*D3)*100</f>
        <v>95.216615348408496</v>
      </c>
      <c r="L3" s="4">
        <f t="shared" ref="L3:L11" si="1">B3/(C3+D3)</f>
        <v>5.662551440329219</v>
      </c>
      <c r="M3" s="5">
        <f t="shared" ref="M3:M11" si="2">(C3/D3)</f>
        <v>1.1315789473684212</v>
      </c>
      <c r="N3" s="2" t="s">
        <v>17</v>
      </c>
    </row>
    <row r="4" spans="1:18" ht="20.100000000000001" customHeight="1" x14ac:dyDescent="0.25">
      <c r="A4" s="6" t="s">
        <v>18</v>
      </c>
      <c r="B4" s="40">
        <v>4.16</v>
      </c>
      <c r="C4" s="41">
        <v>1.05</v>
      </c>
      <c r="D4" s="41">
        <v>1.24</v>
      </c>
      <c r="E4" s="41">
        <v>50.68</v>
      </c>
      <c r="F4" s="41">
        <v>1.1200000000000001</v>
      </c>
      <c r="G4" s="41">
        <v>0.22</v>
      </c>
      <c r="H4" s="41">
        <v>0.16</v>
      </c>
      <c r="I4" s="41">
        <v>0.04</v>
      </c>
      <c r="J4" s="64">
        <v>0.01</v>
      </c>
      <c r="K4" s="3">
        <f t="shared" si="0"/>
        <v>370.11611772438465</v>
      </c>
      <c r="L4" s="4">
        <f t="shared" si="1"/>
        <v>1.8165938864628821</v>
      </c>
      <c r="M4" s="5">
        <f t="shared" si="2"/>
        <v>0.84677419354838712</v>
      </c>
      <c r="N4" s="6" t="s">
        <v>19</v>
      </c>
    </row>
    <row r="5" spans="1:18" ht="20.100000000000001" customHeight="1" thickBot="1" x14ac:dyDescent="0.3">
      <c r="A5" s="7" t="s">
        <v>41</v>
      </c>
      <c r="B5" s="85">
        <v>11.64</v>
      </c>
      <c r="C5" s="42">
        <v>1.59</v>
      </c>
      <c r="D5" s="42">
        <v>2.0699999999999998</v>
      </c>
      <c r="E5" s="42">
        <v>44.56</v>
      </c>
      <c r="F5" s="42">
        <v>0.97</v>
      </c>
      <c r="G5" s="42">
        <v>0.13</v>
      </c>
      <c r="H5" s="42">
        <v>0.33</v>
      </c>
      <c r="I5" s="42">
        <v>0.06</v>
      </c>
      <c r="J5" s="65">
        <v>0.02</v>
      </c>
      <c r="K5" s="86">
        <f t="shared" si="0"/>
        <v>124.4216598675926</v>
      </c>
      <c r="L5" s="8">
        <f t="shared" si="1"/>
        <v>3.180327868852459</v>
      </c>
      <c r="M5" s="9">
        <f t="shared" si="2"/>
        <v>0.76811594202898559</v>
      </c>
      <c r="N5" s="7" t="s">
        <v>40</v>
      </c>
    </row>
    <row r="6" spans="1:18" ht="20.100000000000001" customHeight="1" x14ac:dyDescent="0.25">
      <c r="A6" s="10" t="s">
        <v>20</v>
      </c>
      <c r="B6" s="58">
        <v>7.34</v>
      </c>
      <c r="C6" s="34">
        <v>0.84</v>
      </c>
      <c r="D6" s="34">
        <v>0.82</v>
      </c>
      <c r="E6" s="34">
        <v>46.18</v>
      </c>
      <c r="F6" s="34">
        <v>3.74</v>
      </c>
      <c r="G6" s="34">
        <v>0.67</v>
      </c>
      <c r="H6" s="34">
        <v>0.1</v>
      </c>
      <c r="I6" s="34">
        <v>0.04</v>
      </c>
      <c r="J6" s="66">
        <v>0.02</v>
      </c>
      <c r="K6" s="51">
        <f t="shared" si="0"/>
        <v>209.18455168914937</v>
      </c>
      <c r="L6" s="11">
        <f t="shared" si="1"/>
        <v>4.4216867469879517</v>
      </c>
      <c r="M6" s="12">
        <f t="shared" si="2"/>
        <v>1.024390243902439</v>
      </c>
      <c r="N6" s="2" t="s">
        <v>17</v>
      </c>
    </row>
    <row r="7" spans="1:18" ht="20.100000000000001" customHeight="1" x14ac:dyDescent="0.25">
      <c r="A7" s="10" t="s">
        <v>21</v>
      </c>
      <c r="B7" s="43">
        <v>5.67</v>
      </c>
      <c r="C7" s="44">
        <v>1.17</v>
      </c>
      <c r="D7" s="44">
        <v>1.4</v>
      </c>
      <c r="E7" s="44">
        <v>49.81</v>
      </c>
      <c r="F7" s="44">
        <v>1.19</v>
      </c>
      <c r="G7" s="44">
        <v>0.24</v>
      </c>
      <c r="H7" s="44">
        <v>0.19</v>
      </c>
      <c r="I7" s="44">
        <v>0.05</v>
      </c>
      <c r="J7" s="67">
        <v>0.02</v>
      </c>
      <c r="K7" s="13">
        <f t="shared" si="0"/>
        <v>274.18449242015572</v>
      </c>
      <c r="L7" s="14">
        <f t="shared" si="1"/>
        <v>2.2062256809338523</v>
      </c>
      <c r="M7" s="15">
        <f t="shared" si="2"/>
        <v>0.83571428571428574</v>
      </c>
      <c r="N7" s="6" t="s">
        <v>19</v>
      </c>
    </row>
    <row r="8" spans="1:18" ht="20.100000000000001" customHeight="1" thickBot="1" x14ac:dyDescent="0.3">
      <c r="A8" s="16" t="s">
        <v>42</v>
      </c>
      <c r="B8" s="87">
        <v>11.98</v>
      </c>
      <c r="C8" s="45">
        <v>1.71</v>
      </c>
      <c r="D8" s="45">
        <v>2.2200000000000002</v>
      </c>
      <c r="E8" s="45">
        <v>44.13</v>
      </c>
      <c r="F8" s="45">
        <v>1.0900000000000001</v>
      </c>
      <c r="G8" s="45">
        <v>0.28000000000000003</v>
      </c>
      <c r="H8" s="45">
        <v>0.39</v>
      </c>
      <c r="I8" s="45">
        <v>0.06</v>
      </c>
      <c r="J8" s="46">
        <v>0.05</v>
      </c>
      <c r="K8" s="49">
        <f t="shared" si="0"/>
        <v>119.25479937737808</v>
      </c>
      <c r="L8" s="17">
        <f t="shared" si="1"/>
        <v>3.0483460559796436</v>
      </c>
      <c r="M8" s="18">
        <f t="shared" si="2"/>
        <v>0.77027027027027017</v>
      </c>
      <c r="N8" s="7" t="s">
        <v>40</v>
      </c>
    </row>
    <row r="9" spans="1:18" ht="20.100000000000001" customHeight="1" x14ac:dyDescent="0.25">
      <c r="A9" s="19" t="s">
        <v>22</v>
      </c>
      <c r="B9" s="88">
        <v>18.5</v>
      </c>
      <c r="C9" s="47">
        <v>0.97</v>
      </c>
      <c r="D9" s="47">
        <v>1.27</v>
      </c>
      <c r="E9" s="47">
        <v>42.13</v>
      </c>
      <c r="F9" s="47">
        <v>1.17</v>
      </c>
      <c r="G9" s="47">
        <v>0.61</v>
      </c>
      <c r="H9" s="47">
        <v>0.12</v>
      </c>
      <c r="I9" s="47">
        <v>0.02</v>
      </c>
      <c r="J9" s="68">
        <v>0</v>
      </c>
      <c r="K9" s="89">
        <f t="shared" si="0"/>
        <v>78.35209530947499</v>
      </c>
      <c r="L9" s="20">
        <f t="shared" si="1"/>
        <v>8.2589285714285712</v>
      </c>
      <c r="M9" s="21">
        <f t="shared" si="2"/>
        <v>0.76377952755905509</v>
      </c>
      <c r="N9" s="2" t="s">
        <v>17</v>
      </c>
      <c r="R9" s="77" t="s">
        <v>23</v>
      </c>
    </row>
    <row r="10" spans="1:18" ht="20.100000000000001" customHeight="1" x14ac:dyDescent="0.25">
      <c r="A10" s="10" t="s">
        <v>24</v>
      </c>
      <c r="B10" s="55">
        <v>9.4</v>
      </c>
      <c r="C10" s="44">
        <v>1</v>
      </c>
      <c r="D10" s="44">
        <v>1.24</v>
      </c>
      <c r="E10" s="44">
        <v>48.14</v>
      </c>
      <c r="F10" s="44">
        <v>0.86</v>
      </c>
      <c r="G10" s="44">
        <v>0.21</v>
      </c>
      <c r="H10" s="44">
        <v>0.14000000000000001</v>
      </c>
      <c r="I10" s="44">
        <v>0.03</v>
      </c>
      <c r="J10" s="56">
        <v>0.01</v>
      </c>
      <c r="K10" s="13">
        <f t="shared" si="0"/>
        <v>170.06994983395748</v>
      </c>
      <c r="L10" s="14">
        <f t="shared" si="1"/>
        <v>4.1964285714285712</v>
      </c>
      <c r="M10" s="22">
        <f t="shared" si="2"/>
        <v>0.80645161290322587</v>
      </c>
      <c r="N10" s="6" t="s">
        <v>19</v>
      </c>
    </row>
    <row r="11" spans="1:18" ht="20.100000000000001" customHeight="1" thickBot="1" x14ac:dyDescent="0.3">
      <c r="A11" s="16" t="s">
        <v>39</v>
      </c>
      <c r="B11" s="69">
        <v>8.42</v>
      </c>
      <c r="C11" s="57">
        <v>1.46</v>
      </c>
      <c r="D11" s="57">
        <v>1.53</v>
      </c>
      <c r="E11" s="57">
        <v>47.97</v>
      </c>
      <c r="F11" s="57">
        <v>0.85</v>
      </c>
      <c r="G11" s="57">
        <v>0.14000000000000001</v>
      </c>
      <c r="H11" s="57">
        <v>0.28999999999999998</v>
      </c>
      <c r="I11" s="57">
        <v>0.05</v>
      </c>
      <c r="J11" s="70">
        <v>0.03</v>
      </c>
      <c r="K11" s="49">
        <f t="shared" si="0"/>
        <v>182.44191486043977</v>
      </c>
      <c r="L11" s="17">
        <f t="shared" si="1"/>
        <v>2.8160535117056855</v>
      </c>
      <c r="M11" s="23">
        <f t="shared" si="2"/>
        <v>0.95424836601307184</v>
      </c>
      <c r="N11" s="7" t="s">
        <v>40</v>
      </c>
      <c r="R11" s="77" t="s">
        <v>25</v>
      </c>
    </row>
    <row r="12" spans="1:18" ht="15.75" thickBot="1" x14ac:dyDescent="0.3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</row>
    <row r="13" spans="1:18" x14ac:dyDescent="0.25">
      <c r="A13" s="91" t="s">
        <v>0</v>
      </c>
      <c r="B13" s="92" t="s">
        <v>1</v>
      </c>
      <c r="C13" s="92"/>
      <c r="D13" s="92"/>
      <c r="E13" s="92"/>
      <c r="F13" s="92"/>
      <c r="G13" s="92"/>
      <c r="H13" s="92"/>
      <c r="I13" s="92"/>
      <c r="J13" s="93"/>
      <c r="K13" s="94" t="s">
        <v>2</v>
      </c>
      <c r="L13" s="92"/>
      <c r="M13" s="92"/>
      <c r="N13" s="95" t="s">
        <v>26</v>
      </c>
    </row>
    <row r="14" spans="1:18" ht="20.25" thickBot="1" x14ac:dyDescent="0.3">
      <c r="A14" s="96"/>
      <c r="B14" s="79" t="s">
        <v>4</v>
      </c>
      <c r="C14" s="1" t="s">
        <v>5</v>
      </c>
      <c r="D14" s="1" t="s">
        <v>6</v>
      </c>
      <c r="E14" s="1" t="s">
        <v>7</v>
      </c>
      <c r="F14" s="1" t="s">
        <v>8</v>
      </c>
      <c r="G14" s="1" t="s">
        <v>9</v>
      </c>
      <c r="H14" s="1" t="s">
        <v>10</v>
      </c>
      <c r="I14" s="1" t="s">
        <v>11</v>
      </c>
      <c r="J14" s="82" t="s">
        <v>12</v>
      </c>
      <c r="K14" s="81" t="s">
        <v>13</v>
      </c>
      <c r="L14" s="1" t="s">
        <v>14</v>
      </c>
      <c r="M14" s="80" t="s">
        <v>15</v>
      </c>
      <c r="N14" s="97"/>
    </row>
    <row r="15" spans="1:18" x14ac:dyDescent="0.25">
      <c r="A15" s="24" t="str">
        <f>A3</f>
        <v>A1-2</v>
      </c>
      <c r="B15" s="25">
        <f t="shared" ref="B15:J15" si="3">B3</f>
        <v>13.76</v>
      </c>
      <c r="C15" s="25">
        <f t="shared" si="3"/>
        <v>1.29</v>
      </c>
      <c r="D15" s="25">
        <f t="shared" si="3"/>
        <v>1.1399999999999999</v>
      </c>
      <c r="E15" s="25">
        <f t="shared" si="3"/>
        <v>38.840000000000003</v>
      </c>
      <c r="F15" s="25">
        <f t="shared" si="3"/>
        <v>7.35</v>
      </c>
      <c r="G15" s="25">
        <f t="shared" si="3"/>
        <v>0.61</v>
      </c>
      <c r="H15" s="25">
        <f t="shared" si="3"/>
        <v>0.11</v>
      </c>
      <c r="I15" s="25">
        <f t="shared" si="3"/>
        <v>0.05</v>
      </c>
      <c r="J15" s="25">
        <f t="shared" si="3"/>
        <v>0.02</v>
      </c>
      <c r="K15" s="26">
        <f t="shared" ref="K15:K18" si="4">E15/(2.8*B15+1.18*C15+0.65*D15)*100</f>
        <v>95.216615348408496</v>
      </c>
      <c r="L15" s="26">
        <f t="shared" ref="L15:L18" si="5">B15/(C15+D15)</f>
        <v>5.662551440329219</v>
      </c>
      <c r="M15" s="52">
        <f t="shared" ref="M15:M18" si="6">(C15/D15)</f>
        <v>1.1315789473684212</v>
      </c>
      <c r="N15" s="97"/>
    </row>
    <row r="16" spans="1:18" x14ac:dyDescent="0.25">
      <c r="A16" s="98" t="str">
        <f>A6</f>
        <v>A2-2</v>
      </c>
      <c r="B16" s="48">
        <f t="shared" ref="B16:J16" si="7">B6</f>
        <v>7.34</v>
      </c>
      <c r="C16" s="48">
        <f t="shared" si="7"/>
        <v>0.84</v>
      </c>
      <c r="D16" s="48">
        <f t="shared" si="7"/>
        <v>0.82</v>
      </c>
      <c r="E16" s="58">
        <f t="shared" si="7"/>
        <v>46.18</v>
      </c>
      <c r="F16" s="31">
        <f t="shared" si="7"/>
        <v>3.74</v>
      </c>
      <c r="G16" s="31">
        <f t="shared" si="7"/>
        <v>0.67</v>
      </c>
      <c r="H16" s="31">
        <f t="shared" si="7"/>
        <v>0.1</v>
      </c>
      <c r="I16" s="31">
        <f t="shared" si="7"/>
        <v>0.04</v>
      </c>
      <c r="J16" s="31">
        <f t="shared" si="7"/>
        <v>0.02</v>
      </c>
      <c r="K16" s="31">
        <f t="shared" si="4"/>
        <v>209.18455168914937</v>
      </c>
      <c r="L16" s="34">
        <f t="shared" si="5"/>
        <v>4.4216867469879517</v>
      </c>
      <c r="M16" s="66">
        <f t="shared" si="6"/>
        <v>1.024390243902439</v>
      </c>
      <c r="N16" s="97"/>
    </row>
    <row r="17" spans="1:16" x14ac:dyDescent="0.25">
      <c r="A17" s="99" t="str">
        <f>A9</f>
        <v>A3-2</v>
      </c>
      <c r="B17" s="30">
        <f t="shared" ref="B17:J17" si="8">B9</f>
        <v>18.5</v>
      </c>
      <c r="C17" s="30">
        <f t="shared" si="8"/>
        <v>0.97</v>
      </c>
      <c r="D17" s="30">
        <f t="shared" si="8"/>
        <v>1.27</v>
      </c>
      <c r="E17" s="50">
        <f t="shared" si="8"/>
        <v>42.13</v>
      </c>
      <c r="F17" s="32">
        <f t="shared" si="8"/>
        <v>1.17</v>
      </c>
      <c r="G17" s="32">
        <f t="shared" si="8"/>
        <v>0.61</v>
      </c>
      <c r="H17" s="32">
        <f t="shared" si="8"/>
        <v>0.12</v>
      </c>
      <c r="I17" s="32">
        <f t="shared" si="8"/>
        <v>0.02</v>
      </c>
      <c r="J17" s="32">
        <f t="shared" si="8"/>
        <v>0</v>
      </c>
      <c r="K17" s="32">
        <f t="shared" si="4"/>
        <v>78.35209530947499</v>
      </c>
      <c r="L17" s="35">
        <f t="shared" si="5"/>
        <v>8.2589285714285712</v>
      </c>
      <c r="M17" s="100">
        <f t="shared" si="6"/>
        <v>0.76377952755905509</v>
      </c>
      <c r="N17" s="97"/>
    </row>
    <row r="18" spans="1:16" ht="30.75" thickBot="1" x14ac:dyDescent="0.3">
      <c r="A18" s="101" t="s">
        <v>27</v>
      </c>
      <c r="B18" s="102">
        <f t="shared" ref="B18:J18" si="9">AVERAGE(B15:B17)</f>
        <v>13.200000000000001</v>
      </c>
      <c r="C18" s="102">
        <f t="shared" si="9"/>
        <v>1.0333333333333332</v>
      </c>
      <c r="D18" s="102">
        <f t="shared" si="9"/>
        <v>1.0766666666666667</v>
      </c>
      <c r="E18" s="102">
        <f t="shared" si="9"/>
        <v>42.383333333333333</v>
      </c>
      <c r="F18" s="102">
        <f t="shared" si="9"/>
        <v>4.0866666666666669</v>
      </c>
      <c r="G18" s="102">
        <f t="shared" si="9"/>
        <v>0.63</v>
      </c>
      <c r="H18" s="102">
        <f t="shared" si="9"/>
        <v>0.11</v>
      </c>
      <c r="I18" s="102">
        <f t="shared" si="9"/>
        <v>3.6666666666666667E-2</v>
      </c>
      <c r="J18" s="102">
        <f t="shared" si="9"/>
        <v>1.3333333333333334E-2</v>
      </c>
      <c r="K18" s="103">
        <f t="shared" si="4"/>
        <v>109.01296752759619</v>
      </c>
      <c r="L18" s="104">
        <f t="shared" si="5"/>
        <v>6.2559241706161144</v>
      </c>
      <c r="M18" s="105">
        <f t="shared" si="6"/>
        <v>0.95975232198142402</v>
      </c>
      <c r="N18" s="106"/>
    </row>
    <row r="19" spans="1:16" x14ac:dyDescent="0.25">
      <c r="A19" s="107" t="s">
        <v>0</v>
      </c>
      <c r="B19" s="108" t="s">
        <v>1</v>
      </c>
      <c r="C19" s="108"/>
      <c r="D19" s="108"/>
      <c r="E19" s="108"/>
      <c r="F19" s="108"/>
      <c r="G19" s="108"/>
      <c r="H19" s="108"/>
      <c r="I19" s="108"/>
      <c r="J19" s="108"/>
      <c r="K19" s="109" t="s">
        <v>2</v>
      </c>
      <c r="L19" s="108"/>
      <c r="M19" s="110"/>
      <c r="N19" s="95" t="s">
        <v>28</v>
      </c>
    </row>
    <row r="20" spans="1:16" ht="20.25" thickBot="1" x14ac:dyDescent="0.3">
      <c r="A20" s="96"/>
      <c r="B20" s="79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 t="s">
        <v>9</v>
      </c>
      <c r="H20" s="1" t="s">
        <v>10</v>
      </c>
      <c r="I20" s="1" t="s">
        <v>11</v>
      </c>
      <c r="J20" s="80" t="s">
        <v>12</v>
      </c>
      <c r="K20" s="81" t="s">
        <v>13</v>
      </c>
      <c r="L20" s="1" t="s">
        <v>14</v>
      </c>
      <c r="M20" s="82" t="s">
        <v>15</v>
      </c>
      <c r="N20" s="97"/>
    </row>
    <row r="21" spans="1:16" x14ac:dyDescent="0.25">
      <c r="A21" s="24" t="str">
        <f>A4</f>
        <v>A1-5</v>
      </c>
      <c r="B21" s="27">
        <f t="shared" ref="B21:J21" si="10">B4</f>
        <v>4.16</v>
      </c>
      <c r="C21" s="27">
        <f t="shared" si="10"/>
        <v>1.05</v>
      </c>
      <c r="D21" s="27">
        <f t="shared" si="10"/>
        <v>1.24</v>
      </c>
      <c r="E21" s="27">
        <f t="shared" si="10"/>
        <v>50.68</v>
      </c>
      <c r="F21" s="27">
        <f t="shared" si="10"/>
        <v>1.1200000000000001</v>
      </c>
      <c r="G21" s="27">
        <f t="shared" si="10"/>
        <v>0.22</v>
      </c>
      <c r="H21" s="27">
        <f t="shared" si="10"/>
        <v>0.16</v>
      </c>
      <c r="I21" s="27">
        <f t="shared" si="10"/>
        <v>0.04</v>
      </c>
      <c r="J21" s="27">
        <f t="shared" si="10"/>
        <v>0.01</v>
      </c>
      <c r="K21" s="28">
        <f t="shared" ref="K21:K24" si="11">E21/(2.8*B21+1.18*C21+0.65*D21)*100</f>
        <v>370.11611772438465</v>
      </c>
      <c r="L21" s="26">
        <f t="shared" ref="L21:L24" si="12">B21/(C21+D21)</f>
        <v>1.8165938864628821</v>
      </c>
      <c r="M21" s="29">
        <f t="shared" ref="M21:M24" si="13">(C21/D21)</f>
        <v>0.84677419354838712</v>
      </c>
      <c r="N21" s="97"/>
      <c r="P21" s="111"/>
    </row>
    <row r="22" spans="1:16" x14ac:dyDescent="0.25">
      <c r="A22" s="98" t="str">
        <f>A7</f>
        <v>A2-5</v>
      </c>
      <c r="B22" s="48">
        <f t="shared" ref="B22:J22" si="14">B7</f>
        <v>5.67</v>
      </c>
      <c r="C22" s="48">
        <f t="shared" si="14"/>
        <v>1.17</v>
      </c>
      <c r="D22" s="48">
        <f t="shared" si="14"/>
        <v>1.4</v>
      </c>
      <c r="E22" s="48">
        <f t="shared" si="14"/>
        <v>49.81</v>
      </c>
      <c r="F22" s="48">
        <f t="shared" si="14"/>
        <v>1.19</v>
      </c>
      <c r="G22" s="48">
        <f t="shared" si="14"/>
        <v>0.24</v>
      </c>
      <c r="H22" s="48">
        <f t="shared" si="14"/>
        <v>0.19</v>
      </c>
      <c r="I22" s="48">
        <f t="shared" si="14"/>
        <v>0.05</v>
      </c>
      <c r="J22" s="59">
        <f t="shared" si="14"/>
        <v>0.02</v>
      </c>
      <c r="K22" s="31">
        <f t="shared" si="11"/>
        <v>274.18449242015572</v>
      </c>
      <c r="L22" s="34">
        <f t="shared" si="12"/>
        <v>2.2062256809338523</v>
      </c>
      <c r="M22" s="112">
        <f t="shared" si="13"/>
        <v>0.83571428571428574</v>
      </c>
      <c r="N22" s="97"/>
    </row>
    <row r="23" spans="1:16" x14ac:dyDescent="0.25">
      <c r="A23" s="99" t="str">
        <f>A10</f>
        <v>A3-5</v>
      </c>
      <c r="B23" s="30">
        <f t="shared" ref="B23:J23" si="15">B10</f>
        <v>9.4</v>
      </c>
      <c r="C23" s="30">
        <f t="shared" si="15"/>
        <v>1</v>
      </c>
      <c r="D23" s="30">
        <f t="shared" si="15"/>
        <v>1.24</v>
      </c>
      <c r="E23" s="30">
        <f t="shared" si="15"/>
        <v>48.14</v>
      </c>
      <c r="F23" s="30">
        <f t="shared" si="15"/>
        <v>0.86</v>
      </c>
      <c r="G23" s="30">
        <f t="shared" si="15"/>
        <v>0.21</v>
      </c>
      <c r="H23" s="30">
        <f t="shared" si="15"/>
        <v>0.14000000000000001</v>
      </c>
      <c r="I23" s="30">
        <f t="shared" si="15"/>
        <v>0.03</v>
      </c>
      <c r="J23" s="60">
        <f t="shared" si="15"/>
        <v>0.01</v>
      </c>
      <c r="K23" s="32">
        <f t="shared" si="11"/>
        <v>170.06994983395748</v>
      </c>
      <c r="L23" s="35">
        <f t="shared" si="12"/>
        <v>4.1964285714285712</v>
      </c>
      <c r="M23" s="113">
        <f t="shared" si="13"/>
        <v>0.80645161290322587</v>
      </c>
      <c r="N23" s="97"/>
    </row>
    <row r="24" spans="1:16" ht="30.75" thickBot="1" x14ac:dyDescent="0.3">
      <c r="A24" s="101" t="s">
        <v>27</v>
      </c>
      <c r="B24" s="102">
        <f t="shared" ref="B24:J24" si="16">AVERAGE(B21:B23)</f>
        <v>6.41</v>
      </c>
      <c r="C24" s="102">
        <f t="shared" si="16"/>
        <v>1.0733333333333333</v>
      </c>
      <c r="D24" s="102">
        <f t="shared" si="16"/>
        <v>1.2933333333333332</v>
      </c>
      <c r="E24" s="102">
        <f t="shared" si="16"/>
        <v>49.543333333333329</v>
      </c>
      <c r="F24" s="102">
        <f t="shared" si="16"/>
        <v>1.0566666666666666</v>
      </c>
      <c r="G24" s="102">
        <f t="shared" si="16"/>
        <v>0.2233333333333333</v>
      </c>
      <c r="H24" s="102">
        <f t="shared" si="16"/>
        <v>0.16333333333333333</v>
      </c>
      <c r="I24" s="102">
        <f t="shared" si="16"/>
        <v>0.04</v>
      </c>
      <c r="J24" s="102">
        <f t="shared" si="16"/>
        <v>1.3333333333333334E-2</v>
      </c>
      <c r="K24" s="103">
        <f t="shared" si="11"/>
        <v>247.03485047934367</v>
      </c>
      <c r="L24" s="104">
        <f t="shared" si="12"/>
        <v>2.7084507042253527</v>
      </c>
      <c r="M24" s="114">
        <f t="shared" si="13"/>
        <v>0.82989690721649489</v>
      </c>
      <c r="N24" s="106"/>
    </row>
    <row r="25" spans="1:16" x14ac:dyDescent="0.25">
      <c r="A25" s="91" t="s">
        <v>0</v>
      </c>
      <c r="B25" s="92" t="s">
        <v>1</v>
      </c>
      <c r="C25" s="92"/>
      <c r="D25" s="92"/>
      <c r="E25" s="92"/>
      <c r="F25" s="92"/>
      <c r="G25" s="92"/>
      <c r="H25" s="92"/>
      <c r="I25" s="92"/>
      <c r="J25" s="92"/>
      <c r="K25" s="94" t="s">
        <v>2</v>
      </c>
      <c r="L25" s="92"/>
      <c r="M25" s="93"/>
      <c r="N25" s="115" t="s">
        <v>44</v>
      </c>
    </row>
    <row r="26" spans="1:16" ht="20.25" thickBot="1" x14ac:dyDescent="0.3">
      <c r="A26" s="96"/>
      <c r="B26" s="79" t="s">
        <v>4</v>
      </c>
      <c r="C26" s="1" t="s">
        <v>5</v>
      </c>
      <c r="D26" s="1" t="s">
        <v>6</v>
      </c>
      <c r="E26" s="1" t="s">
        <v>7</v>
      </c>
      <c r="F26" s="1" t="s">
        <v>8</v>
      </c>
      <c r="G26" s="1" t="s">
        <v>9</v>
      </c>
      <c r="H26" s="1" t="s">
        <v>10</v>
      </c>
      <c r="I26" s="1" t="s">
        <v>11</v>
      </c>
      <c r="J26" s="80" t="s">
        <v>12</v>
      </c>
      <c r="K26" s="81" t="s">
        <v>13</v>
      </c>
      <c r="L26" s="1" t="s">
        <v>14</v>
      </c>
      <c r="M26" s="82" t="s">
        <v>15</v>
      </c>
      <c r="N26" s="116"/>
    </row>
    <row r="27" spans="1:16" x14ac:dyDescent="0.25">
      <c r="A27" s="98" t="str">
        <f>A5</f>
        <v>A1-6.5</v>
      </c>
      <c r="B27" s="25">
        <f t="shared" ref="B27:J27" si="17">B5</f>
        <v>11.64</v>
      </c>
      <c r="C27" s="25">
        <f t="shared" si="17"/>
        <v>1.59</v>
      </c>
      <c r="D27" s="25">
        <f t="shared" si="17"/>
        <v>2.0699999999999998</v>
      </c>
      <c r="E27" s="25">
        <f t="shared" si="17"/>
        <v>44.56</v>
      </c>
      <c r="F27" s="25">
        <f t="shared" si="17"/>
        <v>0.97</v>
      </c>
      <c r="G27" s="25">
        <f t="shared" si="17"/>
        <v>0.13</v>
      </c>
      <c r="H27" s="25">
        <f t="shared" si="17"/>
        <v>0.33</v>
      </c>
      <c r="I27" s="25">
        <f t="shared" si="17"/>
        <v>0.06</v>
      </c>
      <c r="J27" s="25">
        <f t="shared" si="17"/>
        <v>0.02</v>
      </c>
      <c r="K27" s="31">
        <f t="shared" ref="K27:K30" si="18">E27/(2.8*B27+1.18*C27+0.65*D27)*100</f>
        <v>124.4216598675926</v>
      </c>
      <c r="L27" s="34">
        <f t="shared" ref="L27:L30" si="19">B27/(C27+D27)</f>
        <v>3.180327868852459</v>
      </c>
      <c r="M27" s="112">
        <f t="shared" ref="M27:M30" si="20">(C27/D27)</f>
        <v>0.76811594202898559</v>
      </c>
      <c r="N27" s="116"/>
    </row>
    <row r="28" spans="1:16" x14ac:dyDescent="0.25">
      <c r="A28" s="98" t="str">
        <f>A8</f>
        <v>A2-6.5</v>
      </c>
      <c r="B28" s="58">
        <f t="shared" ref="B28:J28" si="21">B8</f>
        <v>11.98</v>
      </c>
      <c r="C28" s="31">
        <f t="shared" si="21"/>
        <v>1.71</v>
      </c>
      <c r="D28" s="31">
        <f t="shared" si="21"/>
        <v>2.2200000000000002</v>
      </c>
      <c r="E28" s="31">
        <f t="shared" si="21"/>
        <v>44.13</v>
      </c>
      <c r="F28" s="31">
        <f t="shared" si="21"/>
        <v>1.0900000000000001</v>
      </c>
      <c r="G28" s="31">
        <f t="shared" si="21"/>
        <v>0.28000000000000003</v>
      </c>
      <c r="H28" s="31">
        <f t="shared" si="21"/>
        <v>0.39</v>
      </c>
      <c r="I28" s="31">
        <f t="shared" si="21"/>
        <v>0.06</v>
      </c>
      <c r="J28" s="61">
        <f t="shared" si="21"/>
        <v>0.05</v>
      </c>
      <c r="K28" s="31">
        <f t="shared" si="18"/>
        <v>119.25479937737808</v>
      </c>
      <c r="L28" s="34">
        <f t="shared" si="19"/>
        <v>3.0483460559796436</v>
      </c>
      <c r="M28" s="112">
        <f t="shared" si="20"/>
        <v>0.77027027027027017</v>
      </c>
      <c r="N28" s="116"/>
    </row>
    <row r="29" spans="1:16" x14ac:dyDescent="0.25">
      <c r="A29" s="99" t="str">
        <f>A11</f>
        <v>A3-6.5</v>
      </c>
      <c r="B29" s="50">
        <f t="shared" ref="B29:J29" si="22">B11</f>
        <v>8.42</v>
      </c>
      <c r="C29" s="32">
        <f t="shared" si="22"/>
        <v>1.46</v>
      </c>
      <c r="D29" s="32">
        <f t="shared" si="22"/>
        <v>1.53</v>
      </c>
      <c r="E29" s="32">
        <f t="shared" si="22"/>
        <v>47.97</v>
      </c>
      <c r="F29" s="32">
        <f t="shared" si="22"/>
        <v>0.85</v>
      </c>
      <c r="G29" s="32">
        <f t="shared" si="22"/>
        <v>0.14000000000000001</v>
      </c>
      <c r="H29" s="32">
        <f t="shared" si="22"/>
        <v>0.28999999999999998</v>
      </c>
      <c r="I29" s="32">
        <f t="shared" si="22"/>
        <v>0.05</v>
      </c>
      <c r="J29" s="62">
        <f t="shared" si="22"/>
        <v>0.03</v>
      </c>
      <c r="K29" s="32">
        <f t="shared" si="18"/>
        <v>182.44191486043977</v>
      </c>
      <c r="L29" s="35">
        <f t="shared" si="19"/>
        <v>2.8160535117056855</v>
      </c>
      <c r="M29" s="113">
        <f t="shared" si="20"/>
        <v>0.95424836601307184</v>
      </c>
      <c r="N29" s="116"/>
    </row>
    <row r="30" spans="1:16" ht="30.75" thickBot="1" x14ac:dyDescent="0.3">
      <c r="A30" s="117" t="s">
        <v>27</v>
      </c>
      <c r="B30" s="103">
        <f t="shared" ref="B30:J30" si="23">AVERAGE(B27:B29)</f>
        <v>10.68</v>
      </c>
      <c r="C30" s="103">
        <f t="shared" si="23"/>
        <v>1.5866666666666667</v>
      </c>
      <c r="D30" s="103">
        <f t="shared" si="23"/>
        <v>1.9400000000000002</v>
      </c>
      <c r="E30" s="103">
        <f t="shared" si="23"/>
        <v>45.553333333333335</v>
      </c>
      <c r="F30" s="103">
        <f t="shared" si="23"/>
        <v>0.97000000000000008</v>
      </c>
      <c r="G30" s="103">
        <f t="shared" si="23"/>
        <v>0.18333333333333335</v>
      </c>
      <c r="H30" s="103">
        <f t="shared" si="23"/>
        <v>0.33666666666666667</v>
      </c>
      <c r="I30" s="103">
        <f t="shared" si="23"/>
        <v>5.6666666666666664E-2</v>
      </c>
      <c r="J30" s="103">
        <f t="shared" si="23"/>
        <v>3.3333333333333333E-2</v>
      </c>
      <c r="K30" s="103">
        <f t="shared" si="18"/>
        <v>137.88469183285946</v>
      </c>
      <c r="L30" s="104">
        <f t="shared" si="19"/>
        <v>3.0283553875236291</v>
      </c>
      <c r="M30" s="114">
        <f t="shared" si="20"/>
        <v>0.81786941580756012</v>
      </c>
      <c r="N30" s="118"/>
    </row>
    <row r="32" spans="1:16" ht="19.5" thickBot="1" x14ac:dyDescent="0.3">
      <c r="A32" s="119" t="s">
        <v>29</v>
      </c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</row>
    <row r="33" spans="1:14" ht="19.5" thickBot="1" x14ac:dyDescent="0.3">
      <c r="A33" s="120" t="s">
        <v>30</v>
      </c>
      <c r="B33" s="121" t="s">
        <v>31</v>
      </c>
      <c r="C33" s="122" t="s">
        <v>32</v>
      </c>
      <c r="D33" s="122" t="s">
        <v>33</v>
      </c>
      <c r="E33" s="122" t="s">
        <v>7</v>
      </c>
      <c r="F33" s="122" t="s">
        <v>8</v>
      </c>
      <c r="G33" s="122" t="s">
        <v>34</v>
      </c>
      <c r="H33" s="122" t="s">
        <v>35</v>
      </c>
      <c r="I33" s="122" t="s">
        <v>36</v>
      </c>
      <c r="J33" s="123" t="s">
        <v>12</v>
      </c>
      <c r="K33" s="124" t="s">
        <v>13</v>
      </c>
      <c r="L33" s="122" t="s">
        <v>14</v>
      </c>
      <c r="M33" s="123" t="s">
        <v>15</v>
      </c>
      <c r="N33" s="125" t="s">
        <v>3</v>
      </c>
    </row>
    <row r="34" spans="1:14" ht="15.75" x14ac:dyDescent="0.25">
      <c r="A34" s="126">
        <v>2</v>
      </c>
      <c r="B34" s="53">
        <f t="shared" ref="B34:J34" si="24">B18</f>
        <v>13.200000000000001</v>
      </c>
      <c r="C34" s="53">
        <f t="shared" si="24"/>
        <v>1.0333333333333332</v>
      </c>
      <c r="D34" s="53">
        <f t="shared" si="24"/>
        <v>1.0766666666666667</v>
      </c>
      <c r="E34" s="53">
        <f t="shared" si="24"/>
        <v>42.383333333333333</v>
      </c>
      <c r="F34" s="53">
        <f t="shared" si="24"/>
        <v>4.0866666666666669</v>
      </c>
      <c r="G34" s="53">
        <f t="shared" si="24"/>
        <v>0.63</v>
      </c>
      <c r="H34" s="53">
        <f t="shared" si="24"/>
        <v>0.11</v>
      </c>
      <c r="I34" s="53">
        <f t="shared" si="24"/>
        <v>3.6666666666666667E-2</v>
      </c>
      <c r="J34" s="54">
        <f t="shared" si="24"/>
        <v>1.3333333333333334E-2</v>
      </c>
      <c r="K34" s="31">
        <f t="shared" ref="K34:K37" si="25">E34/(2.8*B34+1.18*C34+0.65*D34)*100</f>
        <v>109.01296752759619</v>
      </c>
      <c r="L34" s="34">
        <f t="shared" ref="L34:L37" si="26">B34/(C34+D34)</f>
        <v>6.2559241706161144</v>
      </c>
      <c r="M34" s="66">
        <f t="shared" ref="M34:M37" si="27">(C34/D34)</f>
        <v>0.95975232198142402</v>
      </c>
      <c r="N34" s="127" t="s">
        <v>37</v>
      </c>
    </row>
    <row r="35" spans="1:14" ht="15.75" x14ac:dyDescent="0.25">
      <c r="A35" s="128">
        <v>3</v>
      </c>
      <c r="B35" s="36">
        <f t="shared" ref="B35:J35" si="28">B24</f>
        <v>6.41</v>
      </c>
      <c r="C35" s="36">
        <f t="shared" si="28"/>
        <v>1.0733333333333333</v>
      </c>
      <c r="D35" s="36">
        <f t="shared" si="28"/>
        <v>1.2933333333333332</v>
      </c>
      <c r="E35" s="36">
        <f t="shared" si="28"/>
        <v>49.543333333333329</v>
      </c>
      <c r="F35" s="36">
        <f t="shared" si="28"/>
        <v>1.0566666666666666</v>
      </c>
      <c r="G35" s="36">
        <f t="shared" si="28"/>
        <v>0.2233333333333333</v>
      </c>
      <c r="H35" s="36">
        <f t="shared" si="28"/>
        <v>0.16333333333333333</v>
      </c>
      <c r="I35" s="36">
        <f t="shared" si="28"/>
        <v>0.04</v>
      </c>
      <c r="J35" s="37">
        <f t="shared" si="28"/>
        <v>1.3333333333333334E-2</v>
      </c>
      <c r="K35" s="32">
        <f t="shared" si="25"/>
        <v>247.03485047934367</v>
      </c>
      <c r="L35" s="35">
        <f t="shared" si="26"/>
        <v>2.7084507042253527</v>
      </c>
      <c r="M35" s="100">
        <f t="shared" si="27"/>
        <v>0.82989690721649489</v>
      </c>
      <c r="N35" s="129" t="s">
        <v>38</v>
      </c>
    </row>
    <row r="36" spans="1:14" ht="16.5" thickBot="1" x14ac:dyDescent="0.3">
      <c r="A36" s="130">
        <v>1.5</v>
      </c>
      <c r="B36" s="33">
        <f>B30</f>
        <v>10.68</v>
      </c>
      <c r="C36" s="33">
        <f t="shared" ref="C36:J36" si="29">C30</f>
        <v>1.5866666666666667</v>
      </c>
      <c r="D36" s="33">
        <f t="shared" si="29"/>
        <v>1.9400000000000002</v>
      </c>
      <c r="E36" s="33">
        <f t="shared" si="29"/>
        <v>45.553333333333335</v>
      </c>
      <c r="F36" s="33">
        <f t="shared" si="29"/>
        <v>0.97000000000000008</v>
      </c>
      <c r="G36" s="33">
        <f t="shared" si="29"/>
        <v>0.18333333333333335</v>
      </c>
      <c r="H36" s="33">
        <f t="shared" si="29"/>
        <v>0.33666666666666667</v>
      </c>
      <c r="I36" s="33">
        <f t="shared" si="29"/>
        <v>5.6666666666666664E-2</v>
      </c>
      <c r="J36" s="38">
        <f t="shared" si="29"/>
        <v>3.3333333333333333E-2</v>
      </c>
      <c r="K36" s="32">
        <f t="shared" si="25"/>
        <v>137.88469183285946</v>
      </c>
      <c r="L36" s="35">
        <f t="shared" si="26"/>
        <v>3.0283553875236291</v>
      </c>
      <c r="M36" s="100">
        <f t="shared" si="27"/>
        <v>0.81786941580756012</v>
      </c>
      <c r="N36" s="129" t="s">
        <v>43</v>
      </c>
    </row>
    <row r="37" spans="1:14" ht="16.5" thickBot="1" x14ac:dyDescent="0.3">
      <c r="A37" s="131">
        <f>SUM(A34:A36)</f>
        <v>6.5</v>
      </c>
      <c r="B37" s="132">
        <f>(B34*$A34+B35*$A35+B36*$A36)/$A37</f>
        <v>9.4846153846153847</v>
      </c>
      <c r="C37" s="132">
        <f t="shared" ref="C37:J37" si="30">(C34*$A34+C35*$A35+C36*$A36)/$A37</f>
        <v>1.1794871794871793</v>
      </c>
      <c r="D37" s="132">
        <f t="shared" si="30"/>
        <v>1.3758974358974358</v>
      </c>
      <c r="E37" s="132">
        <f t="shared" si="30"/>
        <v>46.419487179487177</v>
      </c>
      <c r="F37" s="132">
        <f t="shared" si="30"/>
        <v>1.9689743589743591</v>
      </c>
      <c r="G37" s="132">
        <f t="shared" si="30"/>
        <v>0.33923076923076922</v>
      </c>
      <c r="H37" s="132">
        <f t="shared" si="30"/>
        <v>0.18692307692307691</v>
      </c>
      <c r="I37" s="132">
        <f t="shared" si="30"/>
        <v>4.2820512820512815E-2</v>
      </c>
      <c r="J37" s="132">
        <f t="shared" si="30"/>
        <v>1.7948717948717947E-2</v>
      </c>
      <c r="K37" s="32">
        <f t="shared" si="25"/>
        <v>160.93819868625869</v>
      </c>
      <c r="L37" s="35">
        <f t="shared" si="26"/>
        <v>3.711619506321493</v>
      </c>
      <c r="M37" s="100">
        <f t="shared" si="27"/>
        <v>0.85724934774506134</v>
      </c>
      <c r="N37" s="133"/>
    </row>
  </sheetData>
  <mergeCells count="17">
    <mergeCell ref="A25:A26"/>
    <mergeCell ref="B25:J25"/>
    <mergeCell ref="K25:M25"/>
    <mergeCell ref="N25:N30"/>
    <mergeCell ref="A32:N32"/>
    <mergeCell ref="A13:A14"/>
    <mergeCell ref="B13:J13"/>
    <mergeCell ref="K13:M13"/>
    <mergeCell ref="N13:N18"/>
    <mergeCell ref="A19:A20"/>
    <mergeCell ref="B19:J19"/>
    <mergeCell ref="K19:M19"/>
    <mergeCell ref="N19:N24"/>
    <mergeCell ref="A1:A2"/>
    <mergeCell ref="B1:J1"/>
    <mergeCell ref="K1:M1"/>
    <mergeCell ref="N1: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2025-12-10T06:00:42Z</dcterms:modified>
</cp:coreProperties>
</file>