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qassimcement-my.sharepoint.com/personal/mahmoud_gaweesh_qcc_com_sa/Documents/Desktop/عبد الدايم/"/>
    </mc:Choice>
  </mc:AlternateContent>
  <xr:revisionPtr revIDLastSave="16" documentId="11_B385536D0D7E991E9A7BAFD3599EDD806EAF1766" xr6:coauthVersionLast="47" xr6:coauthVersionMax="47" xr10:uidLastSave="{31CB9FBF-22FD-471F-A967-410EB8AEE7AC}"/>
  <bookViews>
    <workbookView xWindow="-120" yWindow="-120" windowWidth="20730" windowHeight="11160" activeTab="4" xr2:uid="{00000000-000D-0000-FFFF-FFFF00000000}"/>
  </bookViews>
  <sheets>
    <sheet name="Raw Mill" sheetId="2" r:id="rId1"/>
    <sheet name="Kiln Feed" sheetId="6" r:id="rId2"/>
    <sheet name="Clinker" sheetId="3" r:id="rId3"/>
    <sheet name="Cement Mill 1" sheetId="16" r:id="rId4"/>
    <sheet name="Cement Mill 2" sheetId="20" r:id="rId5"/>
  </sheets>
  <definedNames>
    <definedName name="_xlnm.Print_Area" localSheetId="3">'Cement Mill 1'!$A$1:$S$31</definedName>
    <definedName name="_xlnm.Print_Area" localSheetId="4">'Cement Mill 2'!$A$1:$S$32</definedName>
    <definedName name="_xlnm.Print_Area" localSheetId="2">Clinker!$A$1:$Y$31</definedName>
    <definedName name="_xlnm.Print_Area" localSheetId="1">'Kiln Feed'!$A$1:$R$30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7" i="2" l="1"/>
  <c r="P27" i="2"/>
  <c r="Q27" i="2"/>
  <c r="O26" i="2"/>
  <c r="P26" i="2"/>
  <c r="Q26" i="2"/>
  <c r="O25" i="2"/>
  <c r="P25" i="2"/>
  <c r="Q25" i="2"/>
  <c r="O24" i="2"/>
  <c r="P24" i="2"/>
  <c r="Q24" i="2"/>
  <c r="V21" i="6"/>
  <c r="O23" i="2"/>
  <c r="P23" i="2"/>
  <c r="Q23" i="2"/>
  <c r="O22" i="2"/>
  <c r="P22" i="2"/>
  <c r="Q22" i="2"/>
  <c r="O21" i="2"/>
  <c r="P21" i="2"/>
  <c r="Q21" i="2"/>
  <c r="O20" i="2"/>
  <c r="P20" i="2"/>
  <c r="Q20" i="2"/>
  <c r="O19" i="2"/>
  <c r="P19" i="2"/>
  <c r="Q19" i="2"/>
  <c r="V13" i="6"/>
  <c r="O18" i="2"/>
  <c r="P18" i="2"/>
  <c r="Q18" i="2"/>
  <c r="O17" i="2"/>
  <c r="P17" i="2"/>
  <c r="Q17" i="2"/>
  <c r="O16" i="2"/>
  <c r="P16" i="2"/>
  <c r="Q16" i="2"/>
  <c r="O6" i="2" l="1"/>
  <c r="P6" i="2"/>
  <c r="Q6" i="2"/>
  <c r="O7" i="2"/>
  <c r="P7" i="2"/>
  <c r="Q7" i="2"/>
  <c r="O8" i="2"/>
  <c r="P8" i="2"/>
  <c r="Q8" i="2"/>
  <c r="O9" i="2"/>
  <c r="P9" i="2"/>
  <c r="Q9" i="2"/>
  <c r="O10" i="2"/>
  <c r="P10" i="2"/>
  <c r="Q10" i="2"/>
  <c r="O11" i="2"/>
  <c r="P11" i="2"/>
  <c r="Q11" i="2"/>
  <c r="O12" i="2"/>
  <c r="P12" i="2"/>
  <c r="Q12" i="2"/>
  <c r="O13" i="2"/>
  <c r="P13" i="2"/>
  <c r="Q13" i="2"/>
  <c r="O14" i="2"/>
  <c r="P14" i="2"/>
  <c r="Q14" i="2"/>
  <c r="O15" i="2"/>
  <c r="P15" i="2"/>
  <c r="Q15" i="2"/>
  <c r="V5" i="6" l="1"/>
  <c r="M3" i="6" l="1"/>
  <c r="L3" i="6"/>
  <c r="K3" i="6"/>
  <c r="Q5" i="2"/>
  <c r="P5" i="2"/>
  <c r="O5" i="2"/>
  <c r="Q4" i="2"/>
  <c r="P4" i="2"/>
  <c r="O4" i="2"/>
  <c r="V6" i="3" l="1"/>
  <c r="V8" i="3"/>
  <c r="V10" i="3"/>
  <c r="V12" i="3"/>
  <c r="V14" i="3"/>
  <c r="V16" i="3"/>
  <c r="V18" i="3"/>
  <c r="V20" i="3"/>
  <c r="V22" i="3"/>
  <c r="V24" i="3"/>
  <c r="V26" i="3"/>
  <c r="N27" i="3" l="1"/>
  <c r="M27" i="3"/>
  <c r="N26" i="3"/>
  <c r="N25" i="3"/>
  <c r="M25" i="3"/>
  <c r="N24" i="3"/>
  <c r="N23" i="3"/>
  <c r="M23" i="3"/>
  <c r="N22" i="3"/>
  <c r="N21" i="3"/>
  <c r="M21" i="3"/>
  <c r="N20" i="3"/>
  <c r="N19" i="3"/>
  <c r="M19" i="3"/>
  <c r="N18" i="3"/>
  <c r="N17" i="3"/>
  <c r="M17" i="3"/>
  <c r="N16" i="3"/>
  <c r="N15" i="3"/>
  <c r="M15" i="3"/>
  <c r="N14" i="3"/>
  <c r="N13" i="3"/>
  <c r="M13" i="3"/>
  <c r="N12" i="3"/>
  <c r="N11" i="3"/>
  <c r="M11" i="3"/>
  <c r="N10" i="3"/>
  <c r="N9" i="3"/>
  <c r="M9" i="3"/>
  <c r="N7" i="3"/>
  <c r="M7" i="3"/>
  <c r="N6" i="3"/>
  <c r="N5" i="3"/>
  <c r="M5" i="3"/>
  <c r="N31" i="3" l="1"/>
  <c r="M30" i="3"/>
  <c r="N29" i="3"/>
  <c r="N28" i="3"/>
  <c r="M31" i="3"/>
  <c r="M28" i="3"/>
  <c r="M29" i="3"/>
  <c r="N30" i="3"/>
  <c r="R31" i="20" l="1"/>
  <c r="L31" i="20"/>
  <c r="K31" i="20"/>
  <c r="J31" i="20"/>
  <c r="I31" i="20"/>
  <c r="H31" i="20"/>
  <c r="G31" i="20"/>
  <c r="F31" i="20"/>
  <c r="E31" i="20"/>
  <c r="D31" i="20"/>
  <c r="C31" i="20"/>
  <c r="R30" i="20"/>
  <c r="L30" i="20"/>
  <c r="K30" i="20"/>
  <c r="J30" i="20"/>
  <c r="I30" i="20"/>
  <c r="H30" i="20"/>
  <c r="G30" i="20"/>
  <c r="F30" i="20"/>
  <c r="E30" i="20"/>
  <c r="D30" i="20"/>
  <c r="C30" i="20"/>
  <c r="R29" i="20"/>
  <c r="L29" i="20"/>
  <c r="K29" i="20"/>
  <c r="J29" i="20"/>
  <c r="I29" i="20"/>
  <c r="H29" i="20"/>
  <c r="G29" i="20"/>
  <c r="F29" i="20"/>
  <c r="E29" i="20"/>
  <c r="D29" i="20"/>
  <c r="C29" i="20"/>
  <c r="R28" i="20"/>
  <c r="L28" i="20"/>
  <c r="K28" i="20"/>
  <c r="J28" i="20"/>
  <c r="I28" i="20"/>
  <c r="H28" i="20"/>
  <c r="G28" i="20"/>
  <c r="F28" i="20"/>
  <c r="E28" i="20"/>
  <c r="D28" i="20"/>
  <c r="C28" i="20"/>
  <c r="B27" i="20"/>
  <c r="B26" i="20"/>
  <c r="B25" i="20"/>
  <c r="B24" i="20"/>
  <c r="B23" i="20"/>
  <c r="B22" i="20"/>
  <c r="B21" i="20"/>
  <c r="B20" i="20"/>
  <c r="B19" i="20"/>
  <c r="B18" i="20"/>
  <c r="B17" i="20"/>
  <c r="B16" i="20"/>
  <c r="B15" i="20"/>
  <c r="B14" i="20"/>
  <c r="B13" i="20"/>
  <c r="B12" i="20"/>
  <c r="B11" i="20"/>
  <c r="B10" i="20"/>
  <c r="B9" i="20"/>
  <c r="B8" i="20"/>
  <c r="B7" i="20"/>
  <c r="B6" i="20"/>
  <c r="B5" i="20"/>
  <c r="B4" i="20"/>
  <c r="B31" i="20" l="1"/>
  <c r="B28" i="20"/>
  <c r="B29" i="20"/>
  <c r="B30" i="20"/>
  <c r="U30" i="6"/>
  <c r="T30" i="6"/>
  <c r="U29" i="6"/>
  <c r="T29" i="6"/>
  <c r="U28" i="6"/>
  <c r="T28" i="6"/>
  <c r="U27" i="6"/>
  <c r="T27" i="6"/>
  <c r="V27" i="6" l="1"/>
  <c r="V30" i="6"/>
  <c r="V28" i="6"/>
  <c r="V29" i="6"/>
  <c r="O5" i="3"/>
  <c r="P5" i="3"/>
  <c r="Q5" i="3"/>
  <c r="R5" i="3"/>
  <c r="S5" i="3" s="1"/>
  <c r="T5" i="3"/>
  <c r="U5" i="3"/>
  <c r="O7" i="3"/>
  <c r="P7" i="3"/>
  <c r="Q7" i="3"/>
  <c r="R7" i="3"/>
  <c r="S7" i="3" s="1"/>
  <c r="T7" i="3"/>
  <c r="U7" i="3"/>
  <c r="O9" i="3"/>
  <c r="P9" i="3"/>
  <c r="Q9" i="3"/>
  <c r="R9" i="3"/>
  <c r="S9" i="3" s="1"/>
  <c r="T9" i="3"/>
  <c r="U9" i="3"/>
  <c r="O11" i="3"/>
  <c r="P11" i="3"/>
  <c r="Q11" i="3"/>
  <c r="R11" i="3"/>
  <c r="S11" i="3" s="1"/>
  <c r="T11" i="3"/>
  <c r="U11" i="3"/>
  <c r="O13" i="3"/>
  <c r="P13" i="3"/>
  <c r="Q13" i="3"/>
  <c r="R13" i="3"/>
  <c r="S13" i="3" s="1"/>
  <c r="T13" i="3"/>
  <c r="U13" i="3"/>
  <c r="O15" i="3"/>
  <c r="P15" i="3"/>
  <c r="Q15" i="3"/>
  <c r="R15" i="3"/>
  <c r="S15" i="3" s="1"/>
  <c r="T15" i="3"/>
  <c r="U15" i="3"/>
  <c r="O17" i="3"/>
  <c r="P17" i="3"/>
  <c r="Q17" i="3"/>
  <c r="R17" i="3"/>
  <c r="S17" i="3" s="1"/>
  <c r="T17" i="3"/>
  <c r="U17" i="3"/>
  <c r="O19" i="3"/>
  <c r="P19" i="3"/>
  <c r="Q19" i="3"/>
  <c r="R19" i="3"/>
  <c r="S19" i="3" s="1"/>
  <c r="T19" i="3"/>
  <c r="U19" i="3"/>
  <c r="O21" i="3"/>
  <c r="P21" i="3"/>
  <c r="Q21" i="3"/>
  <c r="R21" i="3"/>
  <c r="S21" i="3" s="1"/>
  <c r="T21" i="3"/>
  <c r="U21" i="3"/>
  <c r="O23" i="3"/>
  <c r="P23" i="3"/>
  <c r="Q23" i="3"/>
  <c r="R23" i="3"/>
  <c r="S23" i="3" s="1"/>
  <c r="T23" i="3"/>
  <c r="U23" i="3"/>
  <c r="O25" i="3"/>
  <c r="P25" i="3"/>
  <c r="Q25" i="3"/>
  <c r="R25" i="3"/>
  <c r="S25" i="3" s="1"/>
  <c r="T25" i="3"/>
  <c r="U25" i="3"/>
  <c r="O27" i="3"/>
  <c r="P27" i="3"/>
  <c r="Q27" i="3"/>
  <c r="R27" i="3"/>
  <c r="S27" i="3" s="1"/>
  <c r="T27" i="3"/>
  <c r="U27" i="3"/>
  <c r="V25" i="3" l="1"/>
  <c r="V23" i="3"/>
  <c r="V19" i="3"/>
  <c r="V13" i="3"/>
  <c r="V27" i="3"/>
  <c r="V21" i="3"/>
  <c r="V17" i="3"/>
  <c r="V15" i="3"/>
  <c r="V11" i="3"/>
  <c r="V9" i="3"/>
  <c r="V7" i="3"/>
  <c r="V5" i="3"/>
  <c r="M11" i="6"/>
  <c r="L11" i="6"/>
  <c r="K11" i="6"/>
  <c r="M9" i="6"/>
  <c r="L9" i="6"/>
  <c r="K9" i="6"/>
  <c r="M7" i="6"/>
  <c r="L7" i="6"/>
  <c r="K7" i="6"/>
  <c r="M5" i="6"/>
  <c r="L5" i="6"/>
  <c r="K5" i="6"/>
  <c r="V31" i="3" l="1"/>
  <c r="V29" i="3"/>
  <c r="V30" i="3"/>
  <c r="B6" i="16"/>
  <c r="B7" i="16"/>
  <c r="B8" i="16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5" i="16"/>
  <c r="B4" i="16"/>
  <c r="R31" i="16" l="1"/>
  <c r="R30" i="16"/>
  <c r="R29" i="16"/>
  <c r="R28" i="16"/>
  <c r="C28" i="16"/>
  <c r="D28" i="16"/>
  <c r="E28" i="16"/>
  <c r="F28" i="16"/>
  <c r="G28" i="16"/>
  <c r="H28" i="16"/>
  <c r="I28" i="16"/>
  <c r="J28" i="16"/>
  <c r="K28" i="16"/>
  <c r="L28" i="16"/>
  <c r="C29" i="16"/>
  <c r="D29" i="16"/>
  <c r="E29" i="16"/>
  <c r="F29" i="16"/>
  <c r="G29" i="16"/>
  <c r="H29" i="16"/>
  <c r="I29" i="16"/>
  <c r="J29" i="16"/>
  <c r="K29" i="16"/>
  <c r="L29" i="16"/>
  <c r="C30" i="16"/>
  <c r="D30" i="16"/>
  <c r="E30" i="16"/>
  <c r="F30" i="16"/>
  <c r="G30" i="16"/>
  <c r="H30" i="16"/>
  <c r="I30" i="16"/>
  <c r="J30" i="16"/>
  <c r="K30" i="16"/>
  <c r="L30" i="16"/>
  <c r="C31" i="16"/>
  <c r="D31" i="16"/>
  <c r="E31" i="16"/>
  <c r="F31" i="16"/>
  <c r="G31" i="16"/>
  <c r="H31" i="16"/>
  <c r="I31" i="16"/>
  <c r="J31" i="16"/>
  <c r="K31" i="16"/>
  <c r="L31" i="16"/>
  <c r="B31" i="16" l="1"/>
  <c r="B30" i="16"/>
  <c r="B29" i="16"/>
  <c r="B28" i="16"/>
  <c r="C29" i="3" l="1"/>
  <c r="D29" i="3"/>
  <c r="E29" i="3"/>
  <c r="F29" i="3"/>
  <c r="G29" i="3"/>
  <c r="H29" i="3"/>
  <c r="I29" i="3"/>
  <c r="J29" i="3"/>
  <c r="K29" i="3"/>
  <c r="L29" i="3"/>
  <c r="C30" i="3"/>
  <c r="D30" i="3"/>
  <c r="E30" i="3"/>
  <c r="F30" i="3"/>
  <c r="G30" i="3"/>
  <c r="H30" i="3"/>
  <c r="I30" i="3"/>
  <c r="J30" i="3"/>
  <c r="K30" i="3"/>
  <c r="L30" i="3"/>
  <c r="C31" i="3"/>
  <c r="D31" i="3"/>
  <c r="E31" i="3"/>
  <c r="F31" i="3"/>
  <c r="G31" i="3"/>
  <c r="H31" i="3"/>
  <c r="I31" i="3"/>
  <c r="J31" i="3"/>
  <c r="K31" i="3"/>
  <c r="L31" i="3"/>
  <c r="B31" i="3"/>
  <c r="B30" i="3"/>
  <c r="B29" i="3"/>
  <c r="C28" i="6"/>
  <c r="D28" i="6"/>
  <c r="E28" i="6"/>
  <c r="F28" i="6"/>
  <c r="G28" i="6"/>
  <c r="H28" i="6"/>
  <c r="I28" i="6"/>
  <c r="J28" i="6"/>
  <c r="N28" i="6"/>
  <c r="Q28" i="6"/>
  <c r="R28" i="6"/>
  <c r="C29" i="6"/>
  <c r="D29" i="6"/>
  <c r="E29" i="6"/>
  <c r="F29" i="6"/>
  <c r="G29" i="6"/>
  <c r="H29" i="6"/>
  <c r="I29" i="6"/>
  <c r="J29" i="6"/>
  <c r="N29" i="6"/>
  <c r="Q29" i="6"/>
  <c r="R29" i="6"/>
  <c r="C30" i="6"/>
  <c r="D30" i="6"/>
  <c r="E30" i="6"/>
  <c r="F30" i="6"/>
  <c r="G30" i="6"/>
  <c r="H30" i="6"/>
  <c r="I30" i="6"/>
  <c r="J30" i="6"/>
  <c r="N30" i="6"/>
  <c r="Q30" i="6"/>
  <c r="R30" i="6"/>
  <c r="B30" i="6"/>
  <c r="B29" i="6"/>
  <c r="B28" i="6"/>
  <c r="C29" i="2"/>
  <c r="D29" i="2"/>
  <c r="E29" i="2"/>
  <c r="F29" i="2"/>
  <c r="G29" i="2"/>
  <c r="H29" i="2"/>
  <c r="I29" i="2"/>
  <c r="J29" i="2"/>
  <c r="K29" i="2"/>
  <c r="L29" i="2"/>
  <c r="M29" i="2"/>
  <c r="N29" i="2"/>
  <c r="R29" i="2"/>
  <c r="C30" i="2"/>
  <c r="D30" i="2"/>
  <c r="E30" i="2"/>
  <c r="F30" i="2"/>
  <c r="G30" i="2"/>
  <c r="H30" i="2"/>
  <c r="I30" i="2"/>
  <c r="J30" i="2"/>
  <c r="K30" i="2"/>
  <c r="L30" i="2"/>
  <c r="M30" i="2"/>
  <c r="N30" i="2"/>
  <c r="R30" i="2"/>
  <c r="C31" i="2"/>
  <c r="D31" i="2"/>
  <c r="E31" i="2"/>
  <c r="F31" i="2"/>
  <c r="G31" i="2"/>
  <c r="H31" i="2"/>
  <c r="I31" i="2"/>
  <c r="J31" i="2"/>
  <c r="K31" i="2"/>
  <c r="L31" i="2"/>
  <c r="M31" i="2"/>
  <c r="N31" i="2"/>
  <c r="R31" i="2"/>
  <c r="B13" i="2" l="1"/>
  <c r="B12" i="2"/>
  <c r="B11" i="2"/>
  <c r="B10" i="2"/>
  <c r="B8" i="2"/>
  <c r="B7" i="2"/>
  <c r="B6" i="2"/>
  <c r="B5" i="2"/>
  <c r="B4" i="2"/>
  <c r="B14" i="2" l="1"/>
  <c r="B15" i="2"/>
  <c r="B16" i="2"/>
  <c r="B17" i="2"/>
  <c r="B18" i="2"/>
  <c r="B19" i="2"/>
  <c r="B20" i="2"/>
  <c r="B21" i="2"/>
  <c r="B22" i="2"/>
  <c r="B23" i="2"/>
  <c r="B24" i="2"/>
  <c r="B25" i="2"/>
  <c r="B26" i="2"/>
  <c r="R27" i="6" l="1"/>
  <c r="Q27" i="6"/>
  <c r="N27" i="6"/>
  <c r="J27" i="6"/>
  <c r="I27" i="6"/>
  <c r="H27" i="6"/>
  <c r="G27" i="6"/>
  <c r="F27" i="6"/>
  <c r="E27" i="6"/>
  <c r="D27" i="6"/>
  <c r="C27" i="6"/>
  <c r="B27" i="6"/>
  <c r="R28" i="2"/>
  <c r="N28" i="2"/>
  <c r="M28" i="2"/>
  <c r="L28" i="2"/>
  <c r="K28" i="2"/>
  <c r="J28" i="2"/>
  <c r="I28" i="2"/>
  <c r="H28" i="2"/>
  <c r="G28" i="2"/>
  <c r="F28" i="2"/>
  <c r="E28" i="2"/>
  <c r="D28" i="2"/>
  <c r="C28" i="2"/>
  <c r="B27" i="2"/>
  <c r="B9" i="2"/>
  <c r="B31" i="2" l="1"/>
  <c r="B30" i="2"/>
  <c r="B29" i="2"/>
  <c r="Q28" i="2"/>
  <c r="M27" i="6"/>
  <c r="L27" i="6"/>
  <c r="K27" i="6"/>
  <c r="P28" i="2"/>
  <c r="B28" i="2"/>
  <c r="O28" i="2"/>
  <c r="M25" i="6" l="1"/>
  <c r="L25" i="6"/>
  <c r="K25" i="6"/>
  <c r="M23" i="6"/>
  <c r="L23" i="6"/>
  <c r="K23" i="6"/>
  <c r="M21" i="6"/>
  <c r="L21" i="6"/>
  <c r="K21" i="6"/>
  <c r="M19" i="6"/>
  <c r="L19" i="6"/>
  <c r="K19" i="6"/>
  <c r="M17" i="6"/>
  <c r="L17" i="6"/>
  <c r="K17" i="6"/>
  <c r="M15" i="6"/>
  <c r="L15" i="6"/>
  <c r="K15" i="6"/>
  <c r="M13" i="6"/>
  <c r="L13" i="6"/>
  <c r="K13" i="6"/>
  <c r="M30" i="6" l="1"/>
  <c r="M28" i="6"/>
  <c r="M29" i="6"/>
  <c r="K30" i="6"/>
  <c r="K29" i="6"/>
  <c r="K28" i="6"/>
  <c r="L30" i="6"/>
  <c r="L29" i="6"/>
  <c r="L28" i="6"/>
  <c r="Q31" i="2"/>
  <c r="Q30" i="2"/>
  <c r="Q29" i="2"/>
  <c r="P31" i="2"/>
  <c r="P29" i="2"/>
  <c r="P30" i="2"/>
  <c r="O30" i="2"/>
  <c r="O31" i="2"/>
  <c r="O29" i="2"/>
  <c r="U31" i="3" l="1"/>
  <c r="U29" i="3"/>
  <c r="U30" i="3"/>
  <c r="T30" i="3"/>
  <c r="T29" i="3"/>
  <c r="T31" i="3"/>
  <c r="R30" i="3"/>
  <c r="R31" i="3"/>
  <c r="R29" i="3"/>
  <c r="P30" i="3"/>
  <c r="P31" i="3"/>
  <c r="P29" i="3"/>
  <c r="S31" i="3"/>
  <c r="S29" i="3"/>
  <c r="S30" i="3"/>
  <c r="Q31" i="3"/>
  <c r="Q30" i="3"/>
  <c r="Q29" i="3"/>
  <c r="O31" i="3"/>
  <c r="O30" i="3"/>
  <c r="O29" i="3"/>
  <c r="C28" i="3" l="1"/>
  <c r="D28" i="3"/>
  <c r="E28" i="3"/>
  <c r="F28" i="3"/>
  <c r="G28" i="3"/>
  <c r="H28" i="3"/>
  <c r="I28" i="3"/>
  <c r="J28" i="3"/>
  <c r="K28" i="3"/>
  <c r="L28" i="3"/>
  <c r="B28" i="3"/>
  <c r="Q28" i="3" l="1"/>
  <c r="P28" i="3"/>
  <c r="R28" i="3"/>
  <c r="S28" i="3" s="1"/>
  <c r="O28" i="3"/>
  <c r="U28" i="3"/>
  <c r="T28" i="3"/>
  <c r="V28" i="3" l="1"/>
</calcChain>
</file>

<file path=xl/sharedStrings.xml><?xml version="1.0" encoding="utf-8"?>
<sst xmlns="http://schemas.openxmlformats.org/spreadsheetml/2006/main" count="168" uniqueCount="87">
  <si>
    <t>Time</t>
  </si>
  <si>
    <t>CaO</t>
  </si>
  <si>
    <t>MgO</t>
  </si>
  <si>
    <t>CL</t>
  </si>
  <si>
    <t>LSF</t>
  </si>
  <si>
    <t>SM</t>
  </si>
  <si>
    <t>AM</t>
  </si>
  <si>
    <t xml:space="preserve">Time </t>
  </si>
  <si>
    <t>Remarks</t>
  </si>
  <si>
    <t>Silo #</t>
  </si>
  <si>
    <t>Avg</t>
  </si>
  <si>
    <t>Lst</t>
  </si>
  <si>
    <t>Clay</t>
  </si>
  <si>
    <t>FEED RATE</t>
  </si>
  <si>
    <t>PC 1</t>
  </si>
  <si>
    <t>Silo Extraction</t>
  </si>
  <si>
    <t>MODULIE</t>
  </si>
  <si>
    <t>CHEMICAL ANALYSIS (%)</t>
  </si>
  <si>
    <t>PHASE COMPOSITION (%)</t>
  </si>
  <si>
    <t>Feed Rate (%)</t>
  </si>
  <si>
    <t xml:space="preserve">Clinker </t>
  </si>
  <si>
    <t>F CaO   %</t>
  </si>
  <si>
    <t>Liter Weight (gm/ltr)</t>
  </si>
  <si>
    <t>Clinker Silo #</t>
  </si>
  <si>
    <t>Gyp</t>
  </si>
  <si>
    <t>I.Ore</t>
  </si>
  <si>
    <t>BP Dust</t>
  </si>
  <si>
    <t>Total</t>
  </si>
  <si>
    <t>Residue 90 µ (%)</t>
  </si>
  <si>
    <r>
      <t>SiO</t>
    </r>
    <r>
      <rPr>
        <b/>
        <vertAlign val="subscript"/>
        <sz val="12"/>
        <color theme="1"/>
        <rFont val="Arial"/>
        <family val="2"/>
      </rPr>
      <t>2</t>
    </r>
  </si>
  <si>
    <r>
      <t>Al</t>
    </r>
    <r>
      <rPr>
        <b/>
        <vertAlign val="subscript"/>
        <sz val="12"/>
        <color theme="1"/>
        <rFont val="Arial"/>
        <family val="2"/>
      </rPr>
      <t>2</t>
    </r>
    <r>
      <rPr>
        <b/>
        <sz val="12"/>
        <color theme="1"/>
        <rFont val="Arial"/>
        <family val="2"/>
      </rPr>
      <t>O</t>
    </r>
    <r>
      <rPr>
        <b/>
        <vertAlign val="subscript"/>
        <sz val="12"/>
        <color theme="1"/>
        <rFont val="Arial"/>
        <family val="2"/>
      </rPr>
      <t>3</t>
    </r>
  </si>
  <si>
    <r>
      <t>Fe</t>
    </r>
    <r>
      <rPr>
        <b/>
        <vertAlign val="subscript"/>
        <sz val="12"/>
        <color theme="1"/>
        <rFont val="Arial"/>
        <family val="2"/>
      </rPr>
      <t>2</t>
    </r>
    <r>
      <rPr>
        <b/>
        <sz val="12"/>
        <color theme="1"/>
        <rFont val="Arial"/>
        <family val="2"/>
      </rPr>
      <t>O</t>
    </r>
    <r>
      <rPr>
        <b/>
        <vertAlign val="subscript"/>
        <sz val="12"/>
        <color theme="1"/>
        <rFont val="Arial"/>
        <family val="2"/>
      </rPr>
      <t>3</t>
    </r>
  </si>
  <si>
    <r>
      <t>SO</t>
    </r>
    <r>
      <rPr>
        <b/>
        <vertAlign val="subscript"/>
        <sz val="12"/>
        <color theme="1"/>
        <rFont val="Arial"/>
        <family val="2"/>
      </rPr>
      <t>3</t>
    </r>
  </si>
  <si>
    <r>
      <t>Na</t>
    </r>
    <r>
      <rPr>
        <b/>
        <vertAlign val="subscript"/>
        <sz val="12"/>
        <color theme="1"/>
        <rFont val="Arial"/>
        <family val="2"/>
      </rPr>
      <t>2</t>
    </r>
    <r>
      <rPr>
        <b/>
        <sz val="12"/>
        <color theme="1"/>
        <rFont val="Arial"/>
        <family val="2"/>
      </rPr>
      <t>O</t>
    </r>
  </si>
  <si>
    <r>
      <t>K</t>
    </r>
    <r>
      <rPr>
        <b/>
        <vertAlign val="subscript"/>
        <sz val="12"/>
        <color theme="1"/>
        <rFont val="Arial"/>
        <family val="2"/>
      </rPr>
      <t>2</t>
    </r>
    <r>
      <rPr>
        <b/>
        <sz val="12"/>
        <color theme="1"/>
        <rFont val="Arial"/>
        <family val="2"/>
      </rPr>
      <t>O</t>
    </r>
  </si>
  <si>
    <r>
      <t>C</t>
    </r>
    <r>
      <rPr>
        <b/>
        <vertAlign val="subscript"/>
        <sz val="12"/>
        <color theme="1"/>
        <rFont val="Arial"/>
        <family val="2"/>
      </rPr>
      <t>3</t>
    </r>
    <r>
      <rPr>
        <b/>
        <sz val="12"/>
        <color theme="1"/>
        <rFont val="Arial"/>
        <family val="2"/>
      </rPr>
      <t>S</t>
    </r>
  </si>
  <si>
    <r>
      <t>C</t>
    </r>
    <r>
      <rPr>
        <b/>
        <vertAlign val="subscript"/>
        <sz val="12"/>
        <color theme="1"/>
        <rFont val="Arial"/>
        <family val="2"/>
      </rPr>
      <t>2</t>
    </r>
    <r>
      <rPr>
        <b/>
        <sz val="12"/>
        <color theme="1"/>
        <rFont val="Arial"/>
        <family val="2"/>
      </rPr>
      <t>S</t>
    </r>
  </si>
  <si>
    <r>
      <t>C</t>
    </r>
    <r>
      <rPr>
        <b/>
        <vertAlign val="subscript"/>
        <sz val="12"/>
        <color theme="1"/>
        <rFont val="Arial"/>
        <family val="2"/>
      </rPr>
      <t>3</t>
    </r>
    <r>
      <rPr>
        <b/>
        <sz val="12"/>
        <color theme="1"/>
        <rFont val="Arial"/>
        <family val="2"/>
      </rPr>
      <t>A</t>
    </r>
  </si>
  <si>
    <r>
      <t>C</t>
    </r>
    <r>
      <rPr>
        <b/>
        <vertAlign val="subscript"/>
        <sz val="12"/>
        <color theme="1"/>
        <rFont val="Arial"/>
        <family val="2"/>
      </rPr>
      <t>4</t>
    </r>
    <r>
      <rPr>
        <b/>
        <sz val="12"/>
        <color theme="1"/>
        <rFont val="Arial"/>
        <family val="2"/>
      </rPr>
      <t>AF</t>
    </r>
  </si>
  <si>
    <t>Clinker Feeding Ratio (%)</t>
  </si>
  <si>
    <t>M</t>
  </si>
  <si>
    <t>Z</t>
  </si>
  <si>
    <t>Note:</t>
  </si>
  <si>
    <t>Z = Non conforming Clinker Yard</t>
  </si>
  <si>
    <t>Calci.</t>
  </si>
  <si>
    <t>M = Main Clinker Yard</t>
  </si>
  <si>
    <t>Min</t>
  </si>
  <si>
    <t>Max</t>
  </si>
  <si>
    <t>SD</t>
  </si>
  <si>
    <r>
      <t>C</t>
    </r>
    <r>
      <rPr>
        <b/>
        <vertAlign val="subscript"/>
        <sz val="12"/>
        <rFont val="Arial"/>
        <family val="2"/>
      </rPr>
      <t>3</t>
    </r>
    <r>
      <rPr>
        <b/>
        <sz val="12"/>
        <rFont val="Arial"/>
        <family val="2"/>
      </rPr>
      <t xml:space="preserve">A        </t>
    </r>
  </si>
  <si>
    <r>
      <t>C</t>
    </r>
    <r>
      <rPr>
        <b/>
        <vertAlign val="subscript"/>
        <sz val="12"/>
        <rFont val="Arial"/>
        <family val="2"/>
      </rPr>
      <t>3</t>
    </r>
    <r>
      <rPr>
        <b/>
        <sz val="12"/>
        <rFont val="Arial"/>
        <family val="2"/>
      </rPr>
      <t xml:space="preserve">S        </t>
    </r>
  </si>
  <si>
    <t>MgO
%</t>
  </si>
  <si>
    <r>
      <t xml:space="preserve">Residue
45 </t>
    </r>
    <r>
      <rPr>
        <b/>
        <sz val="12"/>
        <color theme="1"/>
        <rFont val="Calibri"/>
        <family val="2"/>
      </rPr>
      <t>µ</t>
    </r>
    <r>
      <rPr>
        <b/>
        <sz val="12"/>
        <color theme="1"/>
        <rFont val="Calibri"/>
        <family val="2"/>
        <scheme val="minor"/>
      </rPr>
      <t xml:space="preserve"> %</t>
    </r>
  </si>
  <si>
    <r>
      <t>Blaine
cm</t>
    </r>
    <r>
      <rPr>
        <b/>
        <vertAlign val="superscript"/>
        <sz val="12"/>
        <rFont val="Arial"/>
        <family val="2"/>
      </rPr>
      <t>2</t>
    </r>
    <r>
      <rPr>
        <b/>
        <sz val="12"/>
        <rFont val="Arial"/>
        <family val="2"/>
      </rPr>
      <t>/kg</t>
    </r>
  </si>
  <si>
    <r>
      <t>SO</t>
    </r>
    <r>
      <rPr>
        <b/>
        <vertAlign val="subscript"/>
        <sz val="12"/>
        <rFont val="Arial"/>
        <family val="2"/>
      </rPr>
      <t>3</t>
    </r>
    <r>
      <rPr>
        <b/>
        <sz val="12"/>
        <rFont val="Arial"/>
        <family val="2"/>
      </rPr>
      <t xml:space="preserve">
%</t>
    </r>
  </si>
  <si>
    <t>Cement
silo</t>
  </si>
  <si>
    <r>
      <t xml:space="preserve">Cement
temp </t>
    </r>
    <r>
      <rPr>
        <b/>
        <vertAlign val="superscript"/>
        <sz val="12"/>
        <rFont val="Arial"/>
        <family val="2"/>
      </rPr>
      <t>o</t>
    </r>
    <r>
      <rPr>
        <b/>
        <sz val="12"/>
        <rFont val="Arial"/>
        <family val="2"/>
      </rPr>
      <t>C</t>
    </r>
  </si>
  <si>
    <t>LOI Kiln Feed</t>
  </si>
  <si>
    <t>LOI Hot Meal</t>
  </si>
  <si>
    <t>% of Cal</t>
  </si>
  <si>
    <t xml:space="preserve">Target  </t>
  </si>
  <si>
    <t>12.00 Max</t>
  </si>
  <si>
    <r>
      <t xml:space="preserve">340 </t>
    </r>
    <r>
      <rPr>
        <b/>
        <u/>
        <sz val="12"/>
        <rFont val="Arial"/>
        <family val="2"/>
      </rPr>
      <t>+</t>
    </r>
    <r>
      <rPr>
        <b/>
        <sz val="12"/>
        <rFont val="Arial"/>
        <family val="2"/>
      </rPr>
      <t xml:space="preserve"> 10</t>
    </r>
  </si>
  <si>
    <t xml:space="preserve"> </t>
  </si>
  <si>
    <t>11.00 Max</t>
  </si>
  <si>
    <t>120 Max</t>
  </si>
  <si>
    <t>0.35 Max</t>
  </si>
  <si>
    <r>
      <t>Total Alkalies as Na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>O</t>
    </r>
  </si>
  <si>
    <t>Liquid</t>
  </si>
  <si>
    <r>
      <t xml:space="preserve">1200 </t>
    </r>
    <r>
      <rPr>
        <b/>
        <u/>
        <sz val="12"/>
        <color theme="1"/>
        <rFont val="Arial"/>
        <family val="2"/>
      </rPr>
      <t>+</t>
    </r>
    <r>
      <rPr>
        <b/>
        <sz val="12"/>
        <color theme="1"/>
        <rFont val="Arial"/>
        <family val="2"/>
      </rPr>
      <t xml:space="preserve"> 50</t>
    </r>
  </si>
  <si>
    <t>2.80 Max</t>
  </si>
  <si>
    <t>4.50 Max</t>
  </si>
  <si>
    <t>1.80 Avg</t>
  </si>
  <si>
    <r>
      <t xml:space="preserve">55.00 </t>
    </r>
    <r>
      <rPr>
        <b/>
        <u/>
        <sz val="12"/>
        <color theme="1"/>
        <rFont val="Arial"/>
        <family val="2"/>
      </rPr>
      <t>+</t>
    </r>
    <r>
      <rPr>
        <b/>
        <sz val="12"/>
        <color theme="1"/>
        <rFont val="Arial"/>
        <family val="2"/>
      </rPr>
      <t xml:space="preserve"> 1.00</t>
    </r>
  </si>
  <si>
    <r>
      <t xml:space="preserve">94.00 </t>
    </r>
    <r>
      <rPr>
        <b/>
        <u/>
        <sz val="12"/>
        <color theme="1"/>
        <rFont val="Arial"/>
        <family val="2"/>
      </rPr>
      <t>+</t>
    </r>
    <r>
      <rPr>
        <b/>
        <sz val="12"/>
        <color theme="1"/>
        <rFont val="Arial"/>
        <family val="2"/>
      </rPr>
      <t xml:space="preserve"> 0.50</t>
    </r>
  </si>
  <si>
    <r>
      <t xml:space="preserve">2.35 </t>
    </r>
    <r>
      <rPr>
        <b/>
        <u/>
        <sz val="12"/>
        <color theme="1"/>
        <rFont val="Arial"/>
        <family val="2"/>
      </rPr>
      <t>+</t>
    </r>
    <r>
      <rPr>
        <b/>
        <sz val="12"/>
        <color theme="1"/>
        <rFont val="Arial"/>
        <family val="2"/>
      </rPr>
      <t xml:space="preserve"> 0.03</t>
    </r>
  </si>
  <si>
    <r>
      <t xml:space="preserve">1.25 </t>
    </r>
    <r>
      <rPr>
        <b/>
        <u/>
        <sz val="12"/>
        <color theme="1"/>
        <rFont val="Arial"/>
        <family val="2"/>
      </rPr>
      <t>+</t>
    </r>
    <r>
      <rPr>
        <b/>
        <sz val="12"/>
        <color theme="1"/>
        <rFont val="Arial"/>
        <family val="2"/>
      </rPr>
      <t xml:space="preserve"> 0.03</t>
    </r>
  </si>
  <si>
    <t>93.00 + 0.50</t>
  </si>
  <si>
    <r>
      <t xml:space="preserve">1.30 </t>
    </r>
    <r>
      <rPr>
        <b/>
        <u/>
        <sz val="12"/>
        <color theme="1"/>
        <rFont val="Arial"/>
        <family val="2"/>
      </rPr>
      <t>+</t>
    </r>
    <r>
      <rPr>
        <b/>
        <sz val="12"/>
        <color theme="1"/>
        <rFont val="Arial"/>
        <family val="2"/>
      </rPr>
      <t xml:space="preserve"> 0.03</t>
    </r>
  </si>
  <si>
    <r>
      <t xml:space="preserve">7.20 </t>
    </r>
    <r>
      <rPr>
        <b/>
        <u/>
        <sz val="12"/>
        <color theme="1"/>
        <rFont val="Arial"/>
        <family val="2"/>
      </rPr>
      <t>+</t>
    </r>
    <r>
      <rPr>
        <b/>
        <sz val="12"/>
        <color theme="1"/>
        <rFont val="Arial"/>
        <family val="2"/>
      </rPr>
      <t xml:space="preserve"> 0.20</t>
    </r>
  </si>
  <si>
    <t>Kaoline</t>
  </si>
  <si>
    <r>
      <t xml:space="preserve">2.75 </t>
    </r>
    <r>
      <rPr>
        <b/>
        <u/>
        <sz val="12"/>
        <rFont val="Arial"/>
        <family val="2"/>
      </rPr>
      <t>+</t>
    </r>
    <r>
      <rPr>
        <b/>
        <sz val="12"/>
        <rFont val="Arial"/>
        <family val="2"/>
      </rPr>
      <t xml:space="preserve"> 0.05</t>
    </r>
  </si>
  <si>
    <t>Colour Index: 79..99</t>
  </si>
  <si>
    <t>CL Temp  160</t>
  </si>
  <si>
    <t>Mill stop at 04:00 hr</t>
  </si>
  <si>
    <t>Colour Index: 79.88</t>
  </si>
  <si>
    <t>Colour Index: 80.02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</si>
</sst>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1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vertAlign val="subscript"/>
      <sz val="12"/>
      <color theme="1"/>
      <name val="Arial"/>
      <family val="2"/>
    </font>
    <font>
      <b/>
      <sz val="12"/>
      <name val="Arial"/>
      <family val="2"/>
    </font>
    <font>
      <b/>
      <vertAlign val="superscript"/>
      <sz val="12"/>
      <name val="Arial"/>
      <family val="2"/>
    </font>
    <font>
      <b/>
      <sz val="12"/>
      <color theme="1"/>
      <name val="Calibri"/>
      <family val="2"/>
    </font>
    <font>
      <b/>
      <vertAlign val="subscript"/>
      <sz val="12"/>
      <name val="Arial"/>
      <family val="2"/>
    </font>
    <font>
      <sz val="12"/>
      <name val="Arial"/>
      <family val="2"/>
    </font>
    <font>
      <sz val="12"/>
      <color theme="1"/>
      <name val="Calibri"/>
      <family val="2"/>
      <scheme val="minor"/>
    </font>
    <font>
      <b/>
      <u/>
      <sz val="12"/>
      <color theme="1"/>
      <name val="Arial"/>
      <family val="2"/>
    </font>
    <font>
      <b/>
      <u/>
      <sz val="12"/>
      <name val="Arial"/>
      <family val="2"/>
    </font>
    <font>
      <b/>
      <sz val="10"/>
      <name val="Arial"/>
      <family val="2"/>
    </font>
    <font>
      <b/>
      <vertAlign val="subscript"/>
      <sz val="10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double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07">
    <xf numFmtId="0" fontId="0" fillId="0" borderId="0" xfId="0"/>
    <xf numFmtId="9" fontId="9" fillId="2" borderId="1" xfId="0" applyNumberFormat="1" applyFont="1" applyFill="1" applyBorder="1" applyAlignment="1" applyProtection="1">
      <alignment horizontal="center" vertical="center"/>
      <protection locked="0"/>
    </xf>
    <xf numFmtId="9" fontId="9" fillId="2" borderId="36" xfId="0" applyNumberFormat="1" applyFont="1" applyFill="1" applyBorder="1" applyAlignment="1" applyProtection="1">
      <alignment horizontal="center" vertical="center"/>
      <protection locked="0"/>
    </xf>
    <xf numFmtId="0" fontId="9" fillId="2" borderId="34" xfId="0" applyFont="1" applyFill="1" applyBorder="1" applyAlignment="1" applyProtection="1">
      <alignment horizontal="center" vertical="center"/>
      <protection locked="0"/>
    </xf>
    <xf numFmtId="2" fontId="9" fillId="2" borderId="1" xfId="0" applyNumberFormat="1" applyFont="1" applyFill="1" applyBorder="1" applyAlignment="1" applyProtection="1">
      <alignment horizontal="center" vertical="center"/>
      <protection locked="0"/>
    </xf>
    <xf numFmtId="2" fontId="9" fillId="2" borderId="24" xfId="0" quotePrefix="1" applyNumberFormat="1" applyFont="1" applyFill="1" applyBorder="1" applyAlignment="1" applyProtection="1">
      <alignment horizontal="center" vertical="center"/>
      <protection locked="0"/>
    </xf>
    <xf numFmtId="2" fontId="9" fillId="2" borderId="36" xfId="0" quotePrefix="1" applyNumberFormat="1" applyFont="1" applyFill="1" applyBorder="1" applyAlignment="1" applyProtection="1">
      <alignment horizontal="center" vertical="center"/>
      <protection locked="0"/>
    </xf>
    <xf numFmtId="2" fontId="9" fillId="2" borderId="36" xfId="0" applyNumberFormat="1" applyFont="1" applyFill="1" applyBorder="1" applyAlignment="1" applyProtection="1">
      <alignment horizontal="center" vertical="center"/>
      <protection locked="0"/>
    </xf>
    <xf numFmtId="2" fontId="9" fillId="2" borderId="35" xfId="0" applyNumberFormat="1" applyFont="1" applyFill="1" applyBorder="1" applyAlignment="1" applyProtection="1">
      <alignment horizontal="center" vertical="center"/>
      <protection locked="0"/>
    </xf>
    <xf numFmtId="0" fontId="9" fillId="2" borderId="35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2" borderId="36" xfId="0" applyFont="1" applyFill="1" applyBorder="1" applyAlignment="1" applyProtection="1">
      <alignment horizontal="center" vertical="center"/>
      <protection locked="0"/>
    </xf>
    <xf numFmtId="0" fontId="9" fillId="2" borderId="6" xfId="0" applyFont="1" applyFill="1" applyBorder="1" applyAlignment="1" applyProtection="1">
      <alignment horizontal="center" vertical="center"/>
      <protection locked="0"/>
    </xf>
    <xf numFmtId="1" fontId="9" fillId="2" borderId="36" xfId="0" applyNumberFormat="1" applyFont="1" applyFill="1" applyBorder="1" applyAlignment="1" applyProtection="1">
      <alignment horizontal="center" vertical="center"/>
      <protection locked="0"/>
    </xf>
    <xf numFmtId="2" fontId="9" fillId="2" borderId="4" xfId="0" applyNumberFormat="1" applyFont="1" applyFill="1" applyBorder="1" applyAlignment="1" applyProtection="1">
      <alignment horizontal="center" vertical="center"/>
      <protection locked="0"/>
    </xf>
    <xf numFmtId="2" fontId="9" fillId="2" borderId="25" xfId="0" quotePrefix="1" applyNumberFormat="1" applyFont="1" applyFill="1" applyBorder="1" applyAlignment="1" applyProtection="1">
      <alignment horizontal="center" vertical="center"/>
      <protection locked="0"/>
    </xf>
    <xf numFmtId="2" fontId="9" fillId="2" borderId="38" xfId="0" quotePrefix="1" applyNumberFormat="1" applyFont="1" applyFill="1" applyBorder="1" applyAlignment="1" applyProtection="1">
      <alignment horizontal="center" vertical="center"/>
      <protection locked="0"/>
    </xf>
    <xf numFmtId="2" fontId="9" fillId="2" borderId="38" xfId="0" applyNumberFormat="1" applyFont="1" applyFill="1" applyBorder="1" applyAlignment="1" applyProtection="1">
      <alignment horizontal="center" vertical="center"/>
      <protection locked="0"/>
    </xf>
    <xf numFmtId="2" fontId="9" fillId="2" borderId="37" xfId="0" applyNumberFormat="1" applyFont="1" applyFill="1" applyBorder="1" applyAlignment="1" applyProtection="1">
      <alignment horizontal="center" vertical="center"/>
      <protection locked="0"/>
    </xf>
    <xf numFmtId="0" fontId="9" fillId="2" borderId="37" xfId="0" applyFont="1" applyFill="1" applyBorder="1" applyAlignment="1" applyProtection="1">
      <alignment horizontal="center" vertical="center"/>
      <protection locked="0"/>
    </xf>
    <xf numFmtId="0" fontId="9" fillId="2" borderId="4" xfId="0" applyFont="1" applyFill="1" applyBorder="1" applyAlignment="1" applyProtection="1">
      <alignment horizontal="center" vertical="center"/>
      <protection locked="0"/>
    </xf>
    <xf numFmtId="0" fontId="9" fillId="2" borderId="38" xfId="0" applyFont="1" applyFill="1" applyBorder="1" applyAlignment="1" applyProtection="1">
      <alignment horizontal="center" vertical="center"/>
      <protection locked="0"/>
    </xf>
    <xf numFmtId="0" fontId="9" fillId="2" borderId="28" xfId="0" applyFont="1" applyFill="1" applyBorder="1" applyAlignment="1" applyProtection="1">
      <alignment horizontal="center" vertical="center"/>
      <protection locked="0"/>
    </xf>
    <xf numFmtId="2" fontId="9" fillId="2" borderId="49" xfId="0" quotePrefix="1" applyNumberFormat="1" applyFont="1" applyFill="1" applyBorder="1" applyAlignment="1" applyProtection="1">
      <alignment horizontal="center" vertical="center"/>
      <protection locked="0"/>
    </xf>
    <xf numFmtId="2" fontId="3" fillId="2" borderId="45" xfId="0" applyNumberFormat="1" applyFont="1" applyFill="1" applyBorder="1" applyAlignment="1">
      <alignment horizontal="center" vertical="center"/>
    </xf>
    <xf numFmtId="2" fontId="3" fillId="2" borderId="35" xfId="0" applyNumberFormat="1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2" fontId="3" fillId="2" borderId="36" xfId="0" applyNumberFormat="1" applyFont="1" applyFill="1" applyBorder="1" applyAlignment="1">
      <alignment horizontal="center" vertical="center"/>
    </xf>
    <xf numFmtId="2" fontId="3" fillId="2" borderId="37" xfId="0" applyNumberFormat="1" applyFont="1" applyFill="1" applyBorder="1" applyAlignment="1">
      <alignment horizontal="center" vertical="center"/>
    </xf>
    <xf numFmtId="2" fontId="3" fillId="2" borderId="4" xfId="0" applyNumberFormat="1" applyFont="1" applyFill="1" applyBorder="1" applyAlignment="1">
      <alignment horizontal="center" vertical="center"/>
    </xf>
    <xf numFmtId="2" fontId="9" fillId="2" borderId="35" xfId="0" applyNumberFormat="1" applyFont="1" applyFill="1" applyBorder="1" applyAlignment="1">
      <alignment horizontal="center" vertical="center"/>
    </xf>
    <xf numFmtId="2" fontId="3" fillId="2" borderId="36" xfId="0" applyNumberFormat="1" applyFont="1" applyFill="1" applyBorder="1" applyAlignment="1">
      <alignment horizontal="center" vertical="center" shrinkToFit="1"/>
    </xf>
    <xf numFmtId="2" fontId="3" fillId="2" borderId="38" xfId="0" applyNumberFormat="1" applyFont="1" applyFill="1" applyBorder="1" applyAlignment="1">
      <alignment horizontal="center" vertical="center" shrinkToFit="1"/>
    </xf>
    <xf numFmtId="1" fontId="9" fillId="2" borderId="35" xfId="0" applyNumberFormat="1" applyFont="1" applyFill="1" applyBorder="1" applyAlignment="1" applyProtection="1">
      <alignment horizontal="center" vertical="center"/>
      <protection locked="0"/>
    </xf>
    <xf numFmtId="1" fontId="9" fillId="2" borderId="35" xfId="0" quotePrefix="1" applyNumberFormat="1" applyFont="1" applyFill="1" applyBorder="1" applyAlignment="1" applyProtection="1">
      <alignment horizontal="center" vertical="center"/>
      <protection locked="0"/>
    </xf>
    <xf numFmtId="1" fontId="9" fillId="2" borderId="37" xfId="0" quotePrefix="1" applyNumberFormat="1" applyFont="1" applyFill="1" applyBorder="1" applyAlignment="1" applyProtection="1">
      <alignment horizontal="center" vertical="center"/>
      <protection locked="0"/>
    </xf>
    <xf numFmtId="2" fontId="3" fillId="2" borderId="1" xfId="0" applyNumberFormat="1" applyFont="1" applyFill="1" applyBorder="1" applyAlignment="1" applyProtection="1">
      <alignment horizontal="center" vertical="center"/>
      <protection locked="0"/>
    </xf>
    <xf numFmtId="2" fontId="3" fillId="2" borderId="36" xfId="0" applyNumberFormat="1" applyFont="1" applyFill="1" applyBorder="1" applyAlignment="1" applyProtection="1">
      <alignment horizontal="center" vertical="center"/>
      <protection locked="0"/>
    </xf>
    <xf numFmtId="2" fontId="3" fillId="2" borderId="31" xfId="0" applyNumberFormat="1" applyFont="1" applyFill="1" applyBorder="1" applyAlignment="1">
      <alignment horizontal="center" vertical="center"/>
    </xf>
    <xf numFmtId="2" fontId="3" fillId="2" borderId="98" xfId="0" applyNumberFormat="1" applyFont="1" applyFill="1" applyBorder="1" applyAlignment="1">
      <alignment horizontal="center" vertical="center"/>
    </xf>
    <xf numFmtId="2" fontId="3" fillId="2" borderId="100" xfId="0" applyNumberFormat="1" applyFont="1" applyFill="1" applyBorder="1" applyAlignment="1">
      <alignment horizontal="center" vertical="center"/>
    </xf>
    <xf numFmtId="2" fontId="3" fillId="2" borderId="58" xfId="0" applyNumberFormat="1" applyFont="1" applyFill="1" applyBorder="1" applyAlignment="1" applyProtection="1">
      <alignment horizontal="center" vertical="center"/>
      <protection locked="0"/>
    </xf>
    <xf numFmtId="2" fontId="3" fillId="2" borderId="101" xfId="0" applyNumberFormat="1" applyFont="1" applyFill="1" applyBorder="1" applyAlignment="1" applyProtection="1">
      <alignment horizontal="center" vertical="center"/>
      <protection locked="0"/>
    </xf>
    <xf numFmtId="2" fontId="3" fillId="2" borderId="58" xfId="0" applyNumberFormat="1" applyFont="1" applyFill="1" applyBorder="1" applyAlignment="1">
      <alignment horizontal="center" vertical="center"/>
    </xf>
    <xf numFmtId="2" fontId="3" fillId="2" borderId="101" xfId="0" applyNumberFormat="1" applyFont="1" applyFill="1" applyBorder="1" applyAlignment="1">
      <alignment horizontal="center" vertical="center" shrinkToFit="1"/>
    </xf>
    <xf numFmtId="2" fontId="3" fillId="2" borderId="110" xfId="0" applyNumberFormat="1" applyFont="1" applyFill="1" applyBorder="1" applyAlignment="1">
      <alignment horizontal="center" vertical="center"/>
    </xf>
    <xf numFmtId="2" fontId="3" fillId="2" borderId="101" xfId="0" applyNumberFormat="1" applyFont="1" applyFill="1" applyBorder="1" applyAlignment="1">
      <alignment horizontal="center" vertical="center"/>
    </xf>
    <xf numFmtId="2" fontId="9" fillId="2" borderId="100" xfId="0" applyNumberFormat="1" applyFont="1" applyFill="1" applyBorder="1" applyAlignment="1">
      <alignment horizontal="center" vertical="center"/>
    </xf>
    <xf numFmtId="2" fontId="9" fillId="2" borderId="58" xfId="0" applyNumberFormat="1" applyFont="1" applyFill="1" applyBorder="1" applyAlignment="1" applyProtection="1">
      <alignment horizontal="center" vertical="center"/>
      <protection locked="0"/>
    </xf>
    <xf numFmtId="2" fontId="9" fillId="2" borderId="109" xfId="0" quotePrefix="1" applyNumberFormat="1" applyFont="1" applyFill="1" applyBorder="1" applyAlignment="1" applyProtection="1">
      <alignment horizontal="center" vertical="center"/>
      <protection locked="0"/>
    </xf>
    <xf numFmtId="2" fontId="9" fillId="2" borderId="101" xfId="0" quotePrefix="1" applyNumberFormat="1" applyFont="1" applyFill="1" applyBorder="1" applyAlignment="1" applyProtection="1">
      <alignment horizontal="center" vertical="center"/>
      <protection locked="0"/>
    </xf>
    <xf numFmtId="1" fontId="9" fillId="2" borderId="100" xfId="0" applyNumberFormat="1" applyFont="1" applyFill="1" applyBorder="1" applyAlignment="1" applyProtection="1">
      <alignment horizontal="center" vertical="center"/>
      <protection locked="0"/>
    </xf>
    <xf numFmtId="2" fontId="9" fillId="2" borderId="101" xfId="0" applyNumberFormat="1" applyFont="1" applyFill="1" applyBorder="1" applyAlignment="1" applyProtection="1">
      <alignment horizontal="center" vertical="center"/>
      <protection locked="0"/>
    </xf>
    <xf numFmtId="2" fontId="9" fillId="2" borderId="100" xfId="0" applyNumberFormat="1" applyFont="1" applyFill="1" applyBorder="1" applyAlignment="1" applyProtection="1">
      <alignment horizontal="center" vertical="center"/>
      <protection locked="0"/>
    </xf>
    <xf numFmtId="9" fontId="9" fillId="2" borderId="58" xfId="0" applyNumberFormat="1" applyFont="1" applyFill="1" applyBorder="1" applyAlignment="1" applyProtection="1">
      <alignment horizontal="center" vertical="center"/>
      <protection locked="0"/>
    </xf>
    <xf numFmtId="9" fontId="9" fillId="2" borderId="101" xfId="0" applyNumberFormat="1" applyFont="1" applyFill="1" applyBorder="1" applyAlignment="1" applyProtection="1">
      <alignment horizontal="center" vertical="center"/>
      <protection locked="0"/>
    </xf>
    <xf numFmtId="1" fontId="9" fillId="2" borderId="59" xfId="0" applyNumberFormat="1" applyFont="1" applyFill="1" applyBorder="1" applyAlignment="1" applyProtection="1">
      <alignment horizontal="center" vertical="center"/>
      <protection locked="0"/>
    </xf>
    <xf numFmtId="0" fontId="9" fillId="2" borderId="101" xfId="0" applyFont="1" applyFill="1" applyBorder="1" applyAlignment="1" applyProtection="1">
      <alignment horizontal="center" vertical="center"/>
      <protection locked="0"/>
    </xf>
    <xf numFmtId="0" fontId="9" fillId="2" borderId="116" xfId="0" applyFont="1" applyFill="1" applyBorder="1" applyAlignment="1" applyProtection="1">
      <alignment vertical="center"/>
      <protection locked="0"/>
    </xf>
    <xf numFmtId="0" fontId="9" fillId="2" borderId="95" xfId="0" applyFont="1" applyFill="1" applyBorder="1" applyAlignment="1" applyProtection="1">
      <alignment vertical="center"/>
      <protection locked="0"/>
    </xf>
    <xf numFmtId="0" fontId="9" fillId="2" borderId="118" xfId="0" applyFont="1" applyFill="1" applyBorder="1" applyAlignment="1" applyProtection="1">
      <alignment vertical="center"/>
      <protection locked="0"/>
    </xf>
    <xf numFmtId="0" fontId="2" fillId="2" borderId="68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 wrapText="1" shrinkToFit="1"/>
    </xf>
    <xf numFmtId="0" fontId="2" fillId="2" borderId="9" xfId="0" applyFont="1" applyFill="1" applyBorder="1" applyAlignment="1">
      <alignment horizontal="center" vertical="center" wrapText="1" shrinkToFit="1"/>
    </xf>
    <xf numFmtId="0" fontId="2" fillId="2" borderId="10" xfId="0" applyFont="1" applyFill="1" applyBorder="1" applyAlignment="1">
      <alignment horizontal="center" vertical="center" wrapText="1" shrinkToFit="1"/>
    </xf>
    <xf numFmtId="0" fontId="0" fillId="2" borderId="0" xfId="0" applyFill="1"/>
    <xf numFmtId="0" fontId="2" fillId="2" borderId="67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2" fillId="2" borderId="32" xfId="0" applyFont="1" applyFill="1" applyBorder="1" applyAlignment="1">
      <alignment horizontal="center" vertical="center" shrinkToFit="1"/>
    </xf>
    <xf numFmtId="0" fontId="2" fillId="2" borderId="31" xfId="0" applyFont="1" applyFill="1" applyBorder="1" applyAlignment="1">
      <alignment horizontal="center" vertical="center" wrapText="1" shrinkToFit="1"/>
    </xf>
    <xf numFmtId="0" fontId="2" fillId="2" borderId="2" xfId="0" applyFont="1" applyFill="1" applyBorder="1" applyAlignment="1">
      <alignment horizontal="center" vertical="center" wrapText="1" shrinkToFit="1"/>
    </xf>
    <xf numFmtId="0" fontId="2" fillId="2" borderId="11" xfId="0" applyFont="1" applyFill="1" applyBorder="1" applyAlignment="1">
      <alignment horizontal="center" vertical="center" wrapText="1" shrinkToFit="1"/>
    </xf>
    <xf numFmtId="0" fontId="2" fillId="2" borderId="102" xfId="0" applyFont="1" applyFill="1" applyBorder="1" applyAlignment="1">
      <alignment horizontal="right" vertical="center" wrapText="1"/>
    </xf>
    <xf numFmtId="0" fontId="2" fillId="2" borderId="103" xfId="0" applyFont="1" applyFill="1" applyBorder="1" applyAlignment="1">
      <alignment horizontal="center" vertical="center" shrinkToFit="1"/>
    </xf>
    <xf numFmtId="0" fontId="2" fillId="2" borderId="104" xfId="0" applyFont="1" applyFill="1" applyBorder="1" applyAlignment="1">
      <alignment horizontal="center" vertical="center" shrinkToFit="1"/>
    </xf>
    <xf numFmtId="0" fontId="2" fillId="2" borderId="105" xfId="0" applyFont="1" applyFill="1" applyBorder="1" applyAlignment="1">
      <alignment horizontal="center" vertical="center" shrinkToFit="1"/>
    </xf>
    <xf numFmtId="0" fontId="2" fillId="2" borderId="104" xfId="0" applyFont="1" applyFill="1" applyBorder="1" applyAlignment="1">
      <alignment horizontal="center" vertical="center" wrapText="1" shrinkToFit="1"/>
    </xf>
    <xf numFmtId="0" fontId="2" fillId="2" borderId="103" xfId="0" applyFont="1" applyFill="1" applyBorder="1" applyAlignment="1">
      <alignment horizontal="center" vertical="center" wrapText="1" shrinkToFit="1"/>
    </xf>
    <xf numFmtId="0" fontId="2" fillId="2" borderId="105" xfId="0" applyFont="1" applyFill="1" applyBorder="1" applyAlignment="1">
      <alignment horizontal="center" vertical="center" wrapText="1" shrinkToFit="1"/>
    </xf>
    <xf numFmtId="0" fontId="2" fillId="2" borderId="106" xfId="0" applyFont="1" applyFill="1" applyBorder="1" applyAlignment="1">
      <alignment horizontal="center" vertical="center" wrapText="1" shrinkToFit="1"/>
    </xf>
    <xf numFmtId="20" fontId="2" fillId="2" borderId="99" xfId="0" applyNumberFormat="1" applyFont="1" applyFill="1" applyBorder="1" applyAlignment="1">
      <alignment horizontal="center" vertical="center"/>
    </xf>
    <xf numFmtId="2" fontId="3" fillId="2" borderId="100" xfId="0" applyNumberFormat="1" applyFont="1" applyFill="1" applyBorder="1" applyAlignment="1" applyProtection="1">
      <alignment horizontal="center" vertical="center"/>
      <protection locked="0"/>
    </xf>
    <xf numFmtId="0" fontId="3" fillId="2" borderId="58" xfId="0" applyFont="1" applyFill="1" applyBorder="1" applyAlignment="1" applyProtection="1">
      <alignment horizontal="center" vertical="center" wrapText="1"/>
      <protection locked="0"/>
    </xf>
    <xf numFmtId="0" fontId="3" fillId="2" borderId="60" xfId="0" applyFont="1" applyFill="1" applyBorder="1" applyAlignment="1" applyProtection="1">
      <alignment horizontal="center" vertical="center"/>
      <protection locked="0"/>
    </xf>
    <xf numFmtId="20" fontId="2" fillId="2" borderId="66" xfId="0" applyNumberFormat="1" applyFont="1" applyFill="1" applyBorder="1" applyAlignment="1">
      <alignment horizontal="center" vertical="center"/>
    </xf>
    <xf numFmtId="2" fontId="3" fillId="2" borderId="35" xfId="0" applyNumberFormat="1" applyFont="1" applyFill="1" applyBorder="1" applyAlignment="1" applyProtection="1">
      <alignment horizontal="center" vertical="center"/>
      <protection locked="0"/>
    </xf>
    <xf numFmtId="2" fontId="3" fillId="2" borderId="1" xfId="0" applyNumberFormat="1" applyFont="1" applyFill="1" applyBorder="1" applyAlignment="1" applyProtection="1">
      <alignment horizontal="center" vertical="center" shrinkToFit="1"/>
      <protection locked="0"/>
    </xf>
    <xf numFmtId="2" fontId="3" fillId="2" borderId="36" xfId="0" applyNumberFormat="1" applyFont="1" applyFill="1" applyBorder="1" applyAlignment="1" applyProtection="1">
      <alignment horizontal="center" vertical="center" shrinkToFit="1"/>
      <protection locked="0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3" fillId="2" borderId="14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20" fontId="2" fillId="2" borderId="65" xfId="0" applyNumberFormat="1" applyFont="1" applyFill="1" applyBorder="1" applyAlignment="1">
      <alignment horizontal="center" vertical="center"/>
    </xf>
    <xf numFmtId="2" fontId="3" fillId="2" borderId="31" xfId="0" applyNumberFormat="1" applyFont="1" applyFill="1" applyBorder="1" applyAlignment="1" applyProtection="1">
      <alignment horizontal="center" vertical="center"/>
      <protection locked="0"/>
    </xf>
    <xf numFmtId="2" fontId="3" fillId="2" borderId="2" xfId="0" applyNumberFormat="1" applyFont="1" applyFill="1" applyBorder="1" applyAlignment="1" applyProtection="1">
      <alignment horizontal="center" vertical="center"/>
      <protection locked="0"/>
    </xf>
    <xf numFmtId="2" fontId="3" fillId="2" borderId="32" xfId="0" applyNumberFormat="1" applyFont="1" applyFill="1" applyBorder="1" applyAlignment="1" applyProtection="1">
      <alignment horizontal="center" vertical="center"/>
      <protection locked="0"/>
    </xf>
    <xf numFmtId="2" fontId="3" fillId="2" borderId="37" xfId="0" applyNumberFormat="1" applyFont="1" applyFill="1" applyBorder="1" applyAlignment="1" applyProtection="1">
      <alignment horizontal="center" vertical="center"/>
      <protection locked="0"/>
    </xf>
    <xf numFmtId="0" fontId="3" fillId="2" borderId="4" xfId="0" applyFont="1" applyFill="1" applyBorder="1" applyAlignment="1" applyProtection="1">
      <alignment horizontal="center" vertical="center"/>
      <protection locked="0"/>
    </xf>
    <xf numFmtId="20" fontId="2" fillId="2" borderId="75" xfId="0" applyNumberFormat="1" applyFont="1" applyFill="1" applyBorder="1" applyAlignment="1">
      <alignment horizontal="center" vertical="center"/>
    </xf>
    <xf numFmtId="2" fontId="2" fillId="2" borderId="56" xfId="0" applyNumberFormat="1" applyFont="1" applyFill="1" applyBorder="1" applyAlignment="1">
      <alignment horizontal="center" vertical="center"/>
    </xf>
    <xf numFmtId="2" fontId="2" fillId="2" borderId="57" xfId="0" applyNumberFormat="1" applyFont="1" applyFill="1" applyBorder="1" applyAlignment="1">
      <alignment horizontal="center" vertical="center"/>
    </xf>
    <xf numFmtId="2" fontId="2" fillId="2" borderId="61" xfId="0" applyNumberFormat="1" applyFont="1" applyFill="1" applyBorder="1" applyAlignment="1">
      <alignment horizontal="center" vertical="center"/>
    </xf>
    <xf numFmtId="2" fontId="2" fillId="2" borderId="61" xfId="0" applyNumberFormat="1" applyFont="1" applyFill="1" applyBorder="1" applyAlignment="1">
      <alignment horizontal="center" vertical="center" shrinkToFit="1"/>
    </xf>
    <xf numFmtId="2" fontId="2" fillId="2" borderId="76" xfId="0" applyNumberFormat="1" applyFont="1" applyFill="1" applyBorder="1" applyAlignment="1">
      <alignment horizontal="center" vertical="center"/>
    </xf>
    <xf numFmtId="0" fontId="2" fillId="2" borderId="44" xfId="0" applyFont="1" applyFill="1" applyBorder="1" applyAlignment="1">
      <alignment horizontal="center" vertical="center"/>
    </xf>
    <xf numFmtId="0" fontId="2" fillId="2" borderId="62" xfId="0" applyFont="1" applyFill="1" applyBorder="1" applyAlignment="1">
      <alignment horizontal="center" vertical="center"/>
    </xf>
    <xf numFmtId="20" fontId="2" fillId="2" borderId="68" xfId="0" applyNumberFormat="1" applyFont="1" applyFill="1" applyBorder="1" applyAlignment="1">
      <alignment horizontal="center" vertical="center"/>
    </xf>
    <xf numFmtId="2" fontId="3" fillId="2" borderId="29" xfId="0" applyNumberFormat="1" applyFont="1" applyFill="1" applyBorder="1" applyAlignment="1">
      <alignment horizontal="center" vertical="center"/>
    </xf>
    <xf numFmtId="2" fontId="3" fillId="2" borderId="9" xfId="0" applyNumberFormat="1" applyFont="1" applyFill="1" applyBorder="1" applyAlignment="1">
      <alignment horizontal="center" vertical="center"/>
    </xf>
    <xf numFmtId="2" fontId="3" fillId="2" borderId="30" xfId="0" applyNumberFormat="1" applyFont="1" applyFill="1" applyBorder="1" applyAlignment="1">
      <alignment horizontal="center" vertical="center"/>
    </xf>
    <xf numFmtId="2" fontId="3" fillId="2" borderId="26" xfId="0" applyNumberFormat="1" applyFont="1" applyFill="1" applyBorder="1" applyAlignment="1">
      <alignment horizontal="center" vertical="center"/>
    </xf>
    <xf numFmtId="2" fontId="3" fillId="2" borderId="22" xfId="0" applyNumberFormat="1" applyFont="1" applyFill="1" applyBorder="1" applyAlignment="1">
      <alignment horizontal="center" vertical="center"/>
    </xf>
    <xf numFmtId="0" fontId="10" fillId="2" borderId="9" xfId="0" applyFont="1" applyFill="1" applyBorder="1"/>
    <xf numFmtId="0" fontId="10" fillId="2" borderId="10" xfId="0" applyFont="1" applyFill="1" applyBorder="1"/>
    <xf numFmtId="20" fontId="2" fillId="2" borderId="52" xfId="0" applyNumberFormat="1" applyFont="1" applyFill="1" applyBorder="1" applyAlignment="1">
      <alignment horizontal="center" vertical="center"/>
    </xf>
    <xf numFmtId="2" fontId="3" fillId="2" borderId="6" xfId="0" applyNumberFormat="1" applyFont="1" applyFill="1" applyBorder="1" applyAlignment="1">
      <alignment horizontal="center" vertical="center"/>
    </xf>
    <xf numFmtId="2" fontId="3" fillId="2" borderId="24" xfId="0" applyNumberFormat="1" applyFont="1" applyFill="1" applyBorder="1" applyAlignment="1">
      <alignment horizontal="center" vertical="center"/>
    </xf>
    <xf numFmtId="0" fontId="10" fillId="2" borderId="1" xfId="0" applyFont="1" applyFill="1" applyBorder="1"/>
    <xf numFmtId="0" fontId="10" fillId="2" borderId="14" xfId="0" applyFont="1" applyFill="1" applyBorder="1"/>
    <xf numFmtId="20" fontId="2" fillId="2" borderId="80" xfId="0" applyNumberFormat="1" applyFont="1" applyFill="1" applyBorder="1" applyAlignment="1">
      <alignment horizontal="center" vertical="center"/>
    </xf>
    <xf numFmtId="2" fontId="3" fillId="2" borderId="82" xfId="0" applyNumberFormat="1" applyFont="1" applyFill="1" applyBorder="1" applyAlignment="1">
      <alignment horizontal="center" vertical="center"/>
    </xf>
    <xf numFmtId="2" fontId="3" fillId="2" borderId="78" xfId="0" applyNumberFormat="1" applyFont="1" applyFill="1" applyBorder="1" applyAlignment="1">
      <alignment horizontal="center" vertical="center"/>
    </xf>
    <xf numFmtId="2" fontId="3" fillId="2" borderId="83" xfId="0" applyNumberFormat="1" applyFont="1" applyFill="1" applyBorder="1" applyAlignment="1">
      <alignment horizontal="center" vertical="center"/>
    </xf>
    <xf numFmtId="2" fontId="3" fillId="2" borderId="81" xfId="0" applyNumberFormat="1" applyFont="1" applyFill="1" applyBorder="1" applyAlignment="1">
      <alignment horizontal="center" vertical="center"/>
    </xf>
    <xf numFmtId="2" fontId="3" fillId="2" borderId="84" xfId="0" applyNumberFormat="1" applyFont="1" applyFill="1" applyBorder="1" applyAlignment="1">
      <alignment horizontal="center" vertical="center"/>
    </xf>
    <xf numFmtId="0" fontId="10" fillId="2" borderId="78" xfId="0" applyFont="1" applyFill="1" applyBorder="1"/>
    <xf numFmtId="0" fontId="10" fillId="2" borderId="79" xfId="0" applyFont="1" applyFill="1" applyBorder="1"/>
    <xf numFmtId="0" fontId="2" fillId="2" borderId="71" xfId="0" applyFont="1" applyFill="1" applyBorder="1" applyAlignment="1">
      <alignment horizontal="center" vertical="center" wrapText="1" shrinkToFit="1"/>
    </xf>
    <xf numFmtId="0" fontId="2" fillId="2" borderId="30" xfId="0" applyFont="1" applyFill="1" applyBorder="1" applyAlignment="1">
      <alignment horizontal="center" vertical="center" wrapText="1" shrinkToFit="1"/>
    </xf>
    <xf numFmtId="0" fontId="2" fillId="2" borderId="29" xfId="0" applyFont="1" applyFill="1" applyBorder="1" applyAlignment="1">
      <alignment horizontal="center" vertical="center" wrapText="1" shrinkToFit="1"/>
    </xf>
    <xf numFmtId="0" fontId="2" fillId="2" borderId="10" xfId="0" applyFont="1" applyFill="1" applyBorder="1" applyAlignment="1">
      <alignment horizontal="center" vertical="center" wrapText="1" shrinkToFit="1"/>
    </xf>
    <xf numFmtId="0" fontId="2" fillId="2" borderId="87" xfId="0" applyFont="1" applyFill="1" applyBorder="1" applyAlignment="1">
      <alignment horizontal="center" vertical="center" wrapText="1" shrinkToFit="1"/>
    </xf>
    <xf numFmtId="0" fontId="2" fillId="2" borderId="37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0" fontId="2" fillId="2" borderId="38" xfId="0" applyFont="1" applyFill="1" applyBorder="1" applyAlignment="1">
      <alignment horizontal="center" vertical="center" shrinkToFit="1"/>
    </xf>
    <xf numFmtId="0" fontId="2" fillId="2" borderId="86" xfId="0" applyFont="1" applyFill="1" applyBorder="1" applyAlignment="1">
      <alignment horizontal="center" vertical="center" wrapText="1" shrinkToFit="1"/>
    </xf>
    <xf numFmtId="0" fontId="2" fillId="2" borderId="31" xfId="0" applyFont="1" applyFill="1" applyBorder="1" applyAlignment="1">
      <alignment horizontal="center" vertical="center" wrapText="1" shrinkToFit="1"/>
    </xf>
    <xf numFmtId="0" fontId="2" fillId="2" borderId="32" xfId="0" applyFont="1" applyFill="1" applyBorder="1" applyAlignment="1">
      <alignment horizontal="center" vertical="center" wrapText="1" shrinkToFit="1"/>
    </xf>
    <xf numFmtId="0" fontId="2" fillId="2" borderId="11" xfId="0" applyFont="1" applyFill="1" applyBorder="1" applyAlignment="1">
      <alignment horizontal="center" vertical="center" wrapText="1" shrinkToFit="1"/>
    </xf>
    <xf numFmtId="0" fontId="2" fillId="2" borderId="88" xfId="0" applyFont="1" applyFill="1" applyBorder="1" applyAlignment="1">
      <alignment horizontal="center" vertical="center" wrapText="1" shrinkToFit="1"/>
    </xf>
    <xf numFmtId="20" fontId="2" fillId="2" borderId="12" xfId="0" applyNumberFormat="1" applyFont="1" applyFill="1" applyBorder="1" applyAlignment="1">
      <alignment horizontal="center" vertical="center"/>
    </xf>
    <xf numFmtId="2" fontId="3" fillId="2" borderId="33" xfId="0" applyNumberFormat="1" applyFont="1" applyFill="1" applyBorder="1" applyAlignment="1" applyProtection="1">
      <alignment horizontal="center" vertical="center"/>
      <protection locked="0"/>
    </xf>
    <xf numFmtId="2" fontId="3" fillId="2" borderId="3" xfId="0" applyNumberFormat="1" applyFont="1" applyFill="1" applyBorder="1" applyAlignment="1" applyProtection="1">
      <alignment horizontal="center" vertical="center"/>
      <protection locked="0"/>
    </xf>
    <xf numFmtId="2" fontId="3" fillId="2" borderId="34" xfId="0" applyNumberFormat="1" applyFont="1" applyFill="1" applyBorder="1" applyAlignment="1" applyProtection="1">
      <alignment horizontal="center" vertical="center"/>
      <protection locked="0"/>
    </xf>
    <xf numFmtId="2" fontId="3" fillId="2" borderId="47" xfId="0" applyNumberFormat="1" applyFont="1" applyFill="1" applyBorder="1" applyAlignment="1" applyProtection="1">
      <alignment horizontal="center" vertical="center"/>
      <protection locked="0"/>
    </xf>
    <xf numFmtId="9" fontId="3" fillId="2" borderId="33" xfId="0" quotePrefix="1" applyNumberFormat="1" applyFont="1" applyFill="1" applyBorder="1" applyAlignment="1" applyProtection="1">
      <alignment horizontal="center" vertical="center"/>
      <protection locked="0"/>
    </xf>
    <xf numFmtId="9" fontId="3" fillId="2" borderId="34" xfId="0" quotePrefix="1" applyNumberFormat="1" applyFont="1" applyFill="1" applyBorder="1" applyAlignment="1" applyProtection="1">
      <alignment horizontal="center" vertical="center"/>
      <protection locked="0"/>
    </xf>
    <xf numFmtId="2" fontId="3" fillId="2" borderId="13" xfId="0" applyNumberFormat="1" applyFont="1" applyFill="1" applyBorder="1" applyAlignment="1" applyProtection="1">
      <alignment horizontal="center" vertical="center" wrapText="1"/>
      <protection locked="0"/>
    </xf>
    <xf numFmtId="2" fontId="3" fillId="2" borderId="89" xfId="0" applyNumberFormat="1" applyFont="1" applyFill="1" applyBorder="1" applyAlignment="1" applyProtection="1">
      <alignment horizontal="center" vertical="center"/>
      <protection locked="0"/>
    </xf>
    <xf numFmtId="20" fontId="2" fillId="2" borderId="19" xfId="0" applyNumberFormat="1" applyFont="1" applyFill="1" applyBorder="1" applyAlignment="1">
      <alignment horizontal="center" vertical="center"/>
    </xf>
    <xf numFmtId="2" fontId="3" fillId="2" borderId="48" xfId="0" applyNumberFormat="1" applyFont="1" applyFill="1" applyBorder="1" applyAlignment="1" applyProtection="1">
      <alignment horizontal="center" vertical="center"/>
      <protection locked="0"/>
    </xf>
    <xf numFmtId="9" fontId="3" fillId="2" borderId="35" xfId="0" applyNumberFormat="1" applyFont="1" applyFill="1" applyBorder="1" applyAlignment="1" applyProtection="1">
      <alignment horizontal="center" vertical="center"/>
      <protection locked="0"/>
    </xf>
    <xf numFmtId="9" fontId="3" fillId="2" borderId="36" xfId="0" applyNumberFormat="1" applyFont="1" applyFill="1" applyBorder="1" applyAlignment="1" applyProtection="1">
      <alignment horizontal="center" vertical="center"/>
      <protection locked="0"/>
    </xf>
    <xf numFmtId="2" fontId="3" fillId="2" borderId="14" xfId="0" applyNumberFormat="1" applyFont="1" applyFill="1" applyBorder="1" applyAlignment="1" applyProtection="1">
      <alignment horizontal="center" vertical="center" wrapText="1"/>
      <protection locked="0"/>
    </xf>
    <xf numFmtId="2" fontId="3" fillId="2" borderId="90" xfId="0" applyNumberFormat="1" applyFont="1" applyFill="1" applyBorder="1" applyAlignment="1" applyProtection="1">
      <alignment horizontal="center" vertical="center"/>
      <protection locked="0"/>
    </xf>
    <xf numFmtId="2" fontId="3" fillId="2" borderId="14" xfId="0" applyNumberFormat="1" applyFont="1" applyFill="1" applyBorder="1" applyAlignment="1" applyProtection="1">
      <alignment horizontal="center" vertical="center"/>
      <protection locked="0"/>
    </xf>
    <xf numFmtId="20" fontId="2" fillId="2" borderId="20" xfId="0" applyNumberFormat="1" applyFont="1" applyFill="1" applyBorder="1" applyAlignment="1">
      <alignment horizontal="center" vertical="center"/>
    </xf>
    <xf numFmtId="2" fontId="3" fillId="2" borderId="4" xfId="0" applyNumberFormat="1" applyFont="1" applyFill="1" applyBorder="1" applyAlignment="1" applyProtection="1">
      <alignment horizontal="center" vertical="center"/>
      <protection locked="0"/>
    </xf>
    <xf numFmtId="2" fontId="3" fillId="2" borderId="38" xfId="0" applyNumberFormat="1" applyFont="1" applyFill="1" applyBorder="1" applyAlignment="1" applyProtection="1">
      <alignment horizontal="center" vertical="center"/>
      <protection locked="0"/>
    </xf>
    <xf numFmtId="2" fontId="3" fillId="2" borderId="50" xfId="0" applyNumberFormat="1" applyFont="1" applyFill="1" applyBorder="1" applyAlignment="1" applyProtection="1">
      <alignment horizontal="center" vertical="center"/>
      <protection locked="0"/>
    </xf>
    <xf numFmtId="9" fontId="3" fillId="2" borderId="37" xfId="0" applyNumberFormat="1" applyFont="1" applyFill="1" applyBorder="1" applyAlignment="1" applyProtection="1">
      <alignment horizontal="center" vertical="center"/>
      <protection locked="0"/>
    </xf>
    <xf numFmtId="9" fontId="3" fillId="2" borderId="38" xfId="0" applyNumberFormat="1" applyFont="1" applyFill="1" applyBorder="1" applyAlignment="1" applyProtection="1">
      <alignment horizontal="center" vertical="center"/>
      <protection locked="0"/>
    </xf>
    <xf numFmtId="2" fontId="3" fillId="2" borderId="21" xfId="0" applyNumberFormat="1" applyFont="1" applyFill="1" applyBorder="1" applyAlignment="1" applyProtection="1">
      <alignment horizontal="center" vertical="center"/>
      <protection locked="0"/>
    </xf>
    <xf numFmtId="2" fontId="3" fillId="2" borderId="91" xfId="0" applyNumberFormat="1" applyFont="1" applyFill="1" applyBorder="1" applyAlignment="1" applyProtection="1">
      <alignment horizontal="center" vertical="center"/>
      <protection locked="0"/>
    </xf>
    <xf numFmtId="20" fontId="2" fillId="2" borderId="46" xfId="0" applyNumberFormat="1" applyFont="1" applyFill="1" applyBorder="1" applyAlignment="1">
      <alignment horizontal="center" vertical="center"/>
    </xf>
    <xf numFmtId="2" fontId="2" fillId="2" borderId="64" xfId="0" applyNumberFormat="1" applyFont="1" applyFill="1" applyBorder="1" applyAlignment="1">
      <alignment horizontal="center" vertical="center"/>
    </xf>
    <xf numFmtId="2" fontId="2" fillId="2" borderId="17" xfId="0" applyNumberFormat="1" applyFont="1" applyFill="1" applyBorder="1" applyAlignment="1">
      <alignment horizontal="center" vertical="center"/>
    </xf>
    <xf numFmtId="2" fontId="2" fillId="2" borderId="39" xfId="0" applyNumberFormat="1" applyFont="1" applyFill="1" applyBorder="1" applyAlignment="1">
      <alignment horizontal="center" vertical="center"/>
    </xf>
    <xf numFmtId="2" fontId="2" fillId="2" borderId="40" xfId="0" applyNumberFormat="1" applyFont="1" applyFill="1" applyBorder="1" applyAlignment="1">
      <alignment horizontal="center" vertical="center"/>
    </xf>
    <xf numFmtId="2" fontId="2" fillId="2" borderId="42" xfId="0" applyNumberFormat="1" applyFont="1" applyFill="1" applyBorder="1" applyAlignment="1">
      <alignment horizontal="center" vertical="center" shrinkToFit="1"/>
    </xf>
    <xf numFmtId="2" fontId="2" fillId="2" borderId="54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/>
    </xf>
    <xf numFmtId="2" fontId="2" fillId="2" borderId="18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2" fontId="2" fillId="2" borderId="92" xfId="0" applyNumberFormat="1" applyFont="1" applyFill="1" applyBorder="1" applyAlignment="1">
      <alignment horizontal="center" vertical="center"/>
    </xf>
    <xf numFmtId="2" fontId="3" fillId="2" borderId="70" xfId="0" applyNumberFormat="1" applyFont="1" applyFill="1" applyBorder="1" applyAlignment="1">
      <alignment horizontal="center" vertical="center"/>
    </xf>
    <xf numFmtId="2" fontId="10" fillId="2" borderId="29" xfId="0" applyNumberFormat="1" applyFont="1" applyFill="1" applyBorder="1" applyAlignment="1">
      <alignment horizontal="center" vertical="center"/>
    </xf>
    <xf numFmtId="2" fontId="10" fillId="2" borderId="30" xfId="0" applyNumberFormat="1" applyFont="1" applyFill="1" applyBorder="1" applyAlignment="1">
      <alignment horizontal="center" vertical="center"/>
    </xf>
    <xf numFmtId="2" fontId="10" fillId="2" borderId="10" xfId="0" applyNumberFormat="1" applyFont="1" applyFill="1" applyBorder="1" applyAlignment="1">
      <alignment horizontal="center" vertical="center"/>
    </xf>
    <xf numFmtId="2" fontId="3" fillId="2" borderId="87" xfId="0" applyNumberFormat="1" applyFont="1" applyFill="1" applyBorder="1" applyAlignment="1">
      <alignment horizontal="center" vertical="center"/>
    </xf>
    <xf numFmtId="2" fontId="3" fillId="2" borderId="48" xfId="0" applyNumberFormat="1" applyFont="1" applyFill="1" applyBorder="1" applyAlignment="1">
      <alignment horizontal="center" vertical="center"/>
    </xf>
    <xf numFmtId="2" fontId="10" fillId="2" borderId="35" xfId="0" applyNumberFormat="1" applyFont="1" applyFill="1" applyBorder="1" applyAlignment="1">
      <alignment horizontal="center" vertical="center"/>
    </xf>
    <xf numFmtId="2" fontId="10" fillId="2" borderId="36" xfId="0" applyNumberFormat="1" applyFont="1" applyFill="1" applyBorder="1" applyAlignment="1">
      <alignment horizontal="center" vertical="center"/>
    </xf>
    <xf numFmtId="2" fontId="10" fillId="2" borderId="14" xfId="0" applyNumberFormat="1" applyFont="1" applyFill="1" applyBorder="1" applyAlignment="1">
      <alignment horizontal="center" vertical="center"/>
    </xf>
    <xf numFmtId="2" fontId="3" fillId="2" borderId="90" xfId="0" applyNumberFormat="1" applyFont="1" applyFill="1" applyBorder="1" applyAlignment="1">
      <alignment horizontal="center" vertical="center"/>
    </xf>
    <xf numFmtId="2" fontId="3" fillId="2" borderId="85" xfId="0" applyNumberFormat="1" applyFont="1" applyFill="1" applyBorder="1" applyAlignment="1">
      <alignment horizontal="center" vertical="center"/>
    </xf>
    <xf numFmtId="2" fontId="10" fillId="2" borderId="82" xfId="0" applyNumberFormat="1" applyFont="1" applyFill="1" applyBorder="1" applyAlignment="1">
      <alignment horizontal="center" vertical="center"/>
    </xf>
    <xf numFmtId="2" fontId="10" fillId="2" borderId="83" xfId="0" applyNumberFormat="1" applyFont="1" applyFill="1" applyBorder="1" applyAlignment="1">
      <alignment horizontal="center" vertical="center"/>
    </xf>
    <xf numFmtId="2" fontId="10" fillId="2" borderId="79" xfId="0" applyNumberFormat="1" applyFont="1" applyFill="1" applyBorder="1" applyAlignment="1">
      <alignment horizontal="center" vertical="center"/>
    </xf>
    <xf numFmtId="2" fontId="3" fillId="2" borderId="93" xfId="0" applyNumberFormat="1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13" fillId="2" borderId="120" xfId="0" applyFont="1" applyFill="1" applyBorder="1" applyAlignment="1">
      <alignment horizontal="center" vertical="center" wrapText="1"/>
    </xf>
    <xf numFmtId="0" fontId="2" fillId="2" borderId="74" xfId="0" applyFont="1" applyFill="1" applyBorder="1" applyAlignment="1">
      <alignment horizontal="center" vertical="center" shrinkToFit="1"/>
    </xf>
    <xf numFmtId="0" fontId="2" fillId="2" borderId="71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  <xf numFmtId="0" fontId="13" fillId="2" borderId="121" xfId="0" applyFont="1" applyFill="1" applyBorder="1" applyAlignment="1">
      <alignment horizontal="center" vertical="center" wrapText="1"/>
    </xf>
    <xf numFmtId="0" fontId="2" fillId="2" borderId="107" xfId="0" applyFont="1" applyFill="1" applyBorder="1" applyAlignment="1">
      <alignment horizontal="center" vertical="center" shrinkToFit="1"/>
    </xf>
    <xf numFmtId="0" fontId="2" fillId="2" borderId="3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/>
    </xf>
    <xf numFmtId="0" fontId="2" fillId="2" borderId="104" xfId="0" applyFont="1" applyFill="1" applyBorder="1" applyAlignment="1">
      <alignment horizontal="center" vertical="center" wrapText="1"/>
    </xf>
    <xf numFmtId="0" fontId="2" fillId="2" borderId="111" xfId="0" applyFont="1" applyFill="1" applyBorder="1" applyAlignment="1">
      <alignment horizontal="center" vertical="center" wrapText="1"/>
    </xf>
    <xf numFmtId="0" fontId="2" fillId="2" borderId="112" xfId="0" applyFont="1" applyFill="1" applyBorder="1" applyAlignment="1">
      <alignment horizontal="center" vertical="center" shrinkToFit="1"/>
    </xf>
    <xf numFmtId="0" fontId="2" fillId="2" borderId="113" xfId="0" applyFont="1" applyFill="1" applyBorder="1" applyAlignment="1">
      <alignment horizontal="center" vertical="center" wrapText="1"/>
    </xf>
    <xf numFmtId="0" fontId="2" fillId="2" borderId="106" xfId="0" applyFont="1" applyFill="1" applyBorder="1" applyAlignment="1">
      <alignment horizontal="center" vertical="center"/>
    </xf>
    <xf numFmtId="20" fontId="2" fillId="2" borderId="108" xfId="0" applyNumberFormat="1" applyFont="1" applyFill="1" applyBorder="1" applyAlignment="1">
      <alignment horizontal="center" vertical="center"/>
    </xf>
    <xf numFmtId="0" fontId="3" fillId="2" borderId="58" xfId="0" applyFont="1" applyFill="1" applyBorder="1" applyAlignment="1" applyProtection="1">
      <alignment horizontal="center" vertical="center"/>
      <protection locked="0"/>
    </xf>
    <xf numFmtId="2" fontId="3" fillId="2" borderId="109" xfId="0" applyNumberFormat="1" applyFont="1" applyFill="1" applyBorder="1" applyAlignment="1" applyProtection="1">
      <alignment horizontal="center" vertical="center"/>
      <protection locked="0"/>
    </xf>
    <xf numFmtId="2" fontId="3" fillId="2" borderId="58" xfId="0" applyNumberFormat="1" applyFont="1" applyFill="1" applyBorder="1" applyAlignment="1" applyProtection="1">
      <alignment horizontal="center" vertical="center" shrinkToFit="1"/>
      <protection locked="0"/>
    </xf>
    <xf numFmtId="0" fontId="3" fillId="2" borderId="59" xfId="0" applyFont="1" applyFill="1" applyBorder="1" applyAlignment="1" applyProtection="1">
      <alignment horizontal="center" vertical="center"/>
      <protection locked="0"/>
    </xf>
    <xf numFmtId="0" fontId="3" fillId="2" borderId="60" xfId="0" applyFont="1" applyFill="1" applyBorder="1" applyAlignment="1" applyProtection="1">
      <alignment vertical="center"/>
      <protection locked="0"/>
    </xf>
    <xf numFmtId="2" fontId="3" fillId="2" borderId="24" xfId="0" applyNumberFormat="1" applyFont="1" applyFill="1" applyBorder="1" applyAlignment="1" applyProtection="1">
      <alignment horizontal="center" vertical="center"/>
      <protection locked="0"/>
    </xf>
    <xf numFmtId="2" fontId="9" fillId="2" borderId="1" xfId="0" applyNumberFormat="1" applyFont="1" applyFill="1" applyBorder="1" applyAlignment="1">
      <alignment horizontal="center" vertical="center"/>
    </xf>
    <xf numFmtId="2" fontId="15" fillId="2" borderId="4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 applyProtection="1">
      <alignment horizontal="center" vertical="center"/>
      <protection locked="0"/>
    </xf>
    <xf numFmtId="0" fontId="3" fillId="2" borderId="14" xfId="0" applyFont="1" applyFill="1" applyBorder="1" applyAlignment="1" applyProtection="1">
      <alignment vertical="center"/>
      <protection locked="0"/>
    </xf>
    <xf numFmtId="2" fontId="3" fillId="2" borderId="25" xfId="0" applyNumberFormat="1" applyFont="1" applyFill="1" applyBorder="1" applyAlignment="1" applyProtection="1">
      <alignment horizontal="center" vertical="center"/>
      <protection locked="0"/>
    </xf>
    <xf numFmtId="0" fontId="3" fillId="2" borderId="28" xfId="0" applyFont="1" applyFill="1" applyBorder="1" applyAlignment="1" applyProtection="1">
      <alignment horizontal="center" vertical="center"/>
      <protection locked="0"/>
    </xf>
    <xf numFmtId="0" fontId="3" fillId="2" borderId="21" xfId="0" applyFont="1" applyFill="1" applyBorder="1" applyAlignment="1" applyProtection="1">
      <alignment vertical="center"/>
      <protection locked="0"/>
    </xf>
    <xf numFmtId="20" fontId="2" fillId="2" borderId="16" xfId="0" applyNumberFormat="1" applyFont="1" applyFill="1" applyBorder="1" applyAlignment="1">
      <alignment horizontal="center" vertical="center"/>
    </xf>
    <xf numFmtId="1" fontId="2" fillId="2" borderId="17" xfId="0" applyNumberFormat="1" applyFont="1" applyFill="1" applyBorder="1" applyAlignment="1">
      <alignment horizontal="center" vertical="center"/>
    </xf>
    <xf numFmtId="2" fontId="2" fillId="2" borderId="15" xfId="0" applyNumberFormat="1" applyFont="1" applyFill="1" applyBorder="1" applyAlignment="1">
      <alignment horizontal="center" vertical="center"/>
    </xf>
    <xf numFmtId="2" fontId="2" fillId="2" borderId="63" xfId="0" applyNumberFormat="1" applyFont="1" applyFill="1" applyBorder="1" applyAlignment="1">
      <alignment horizontal="center" vertical="center"/>
    </xf>
    <xf numFmtId="2" fontId="2" fillId="2" borderId="97" xfId="0" applyNumberFormat="1" applyFont="1" applyFill="1" applyBorder="1" applyAlignment="1">
      <alignment horizontal="center" vertical="center"/>
    </xf>
    <xf numFmtId="2" fontId="2" fillId="2" borderId="73" xfId="0" applyNumberFormat="1" applyFont="1" applyFill="1" applyBorder="1" applyAlignment="1">
      <alignment horizontal="center" vertical="center"/>
    </xf>
    <xf numFmtId="0" fontId="2" fillId="2" borderId="41" xfId="0" applyFont="1" applyFill="1" applyBorder="1" applyAlignment="1" applyProtection="1">
      <alignment vertical="center"/>
      <protection locked="0"/>
    </xf>
    <xf numFmtId="0" fontId="2" fillId="2" borderId="18" xfId="0" applyFont="1" applyFill="1" applyBorder="1" applyAlignment="1" applyProtection="1">
      <alignment vertical="center"/>
      <protection locked="0"/>
    </xf>
    <xf numFmtId="20" fontId="2" fillId="2" borderId="8" xfId="0" applyNumberFormat="1" applyFont="1" applyFill="1" applyBorder="1" applyAlignment="1">
      <alignment horizontal="center" vertical="center"/>
    </xf>
    <xf numFmtId="1" fontId="3" fillId="2" borderId="9" xfId="0" applyNumberFormat="1" applyFont="1" applyFill="1" applyBorder="1" applyAlignment="1">
      <alignment horizontal="center" vertical="center"/>
    </xf>
    <xf numFmtId="2" fontId="10" fillId="2" borderId="70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2" fontId="10" fillId="2" borderId="48" xfId="0" applyNumberFormat="1" applyFont="1" applyFill="1" applyBorder="1" applyAlignment="1">
      <alignment horizontal="center" vertical="center"/>
    </xf>
    <xf numFmtId="20" fontId="2" fillId="2" borderId="77" xfId="0" applyNumberFormat="1" applyFont="1" applyFill="1" applyBorder="1" applyAlignment="1">
      <alignment horizontal="center" vertical="center"/>
    </xf>
    <xf numFmtId="0" fontId="10" fillId="2" borderId="85" xfId="0" applyFont="1" applyFill="1" applyBorder="1" applyAlignment="1">
      <alignment horizontal="center" vertical="center"/>
    </xf>
    <xf numFmtId="0" fontId="10" fillId="2" borderId="79" xfId="0" applyFont="1" applyFill="1" applyBorder="1" applyAlignment="1">
      <alignment horizontal="center" vertical="center"/>
    </xf>
    <xf numFmtId="0" fontId="5" fillId="2" borderId="55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1" fillId="2" borderId="43" xfId="0" applyFont="1" applyFill="1" applyBorder="1" applyAlignment="1">
      <alignment horizontal="center" vertical="center" wrapText="1" shrinkToFi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30" xfId="0" applyFont="1" applyFill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 wrapText="1"/>
    </xf>
    <xf numFmtId="0" fontId="5" fillId="2" borderId="71" xfId="0" applyFont="1" applyFill="1" applyBorder="1" applyAlignment="1">
      <alignment horizontal="center" vertical="center" wrapText="1"/>
    </xf>
    <xf numFmtId="0" fontId="5" fillId="2" borderId="72" xfId="0" applyFont="1" applyFill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5" fillId="2" borderId="94" xfId="0" applyFont="1" applyFill="1" applyBorder="1" applyAlignment="1">
      <alignment horizontal="center" vertical="center" wrapText="1"/>
    </xf>
    <xf numFmtId="0" fontId="5" fillId="2" borderId="75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2" xfId="0" applyFont="1" applyFill="1" applyBorder="1" applyAlignment="1">
      <alignment horizontal="center" vertical="center" wrapText="1"/>
    </xf>
    <xf numFmtId="0" fontId="5" fillId="2" borderId="76" xfId="0" applyFont="1" applyFill="1" applyBorder="1" applyAlignment="1">
      <alignment horizontal="center" vertical="center" wrapText="1"/>
    </xf>
    <xf numFmtId="0" fontId="1" fillId="2" borderId="44" xfId="0" applyFont="1" applyFill="1" applyBorder="1" applyAlignment="1">
      <alignment horizontal="center" vertical="center" wrapText="1" shrinkToFi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2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5" fillId="2" borderId="117" xfId="0" applyFont="1" applyFill="1" applyBorder="1" applyAlignment="1">
      <alignment horizontal="center" vertical="center" wrapText="1"/>
    </xf>
    <xf numFmtId="0" fontId="5" fillId="2" borderId="102" xfId="0" applyFont="1" applyFill="1" applyBorder="1" applyAlignment="1">
      <alignment horizontal="center" vertical="center" wrapText="1"/>
    </xf>
    <xf numFmtId="0" fontId="5" fillId="2" borderId="103" xfId="0" applyFont="1" applyFill="1" applyBorder="1" applyAlignment="1">
      <alignment horizontal="center" vertical="center" wrapText="1"/>
    </xf>
    <xf numFmtId="0" fontId="5" fillId="2" borderId="104" xfId="0" applyFont="1" applyFill="1" applyBorder="1" applyAlignment="1">
      <alignment horizontal="center" vertical="center" wrapText="1"/>
    </xf>
    <xf numFmtId="0" fontId="5" fillId="2" borderId="111" xfId="0" applyFont="1" applyFill="1" applyBorder="1" applyAlignment="1">
      <alignment horizontal="center" vertical="center" wrapText="1"/>
    </xf>
    <xf numFmtId="0" fontId="5" fillId="2" borderId="105" xfId="0" applyFont="1" applyFill="1" applyBorder="1" applyAlignment="1">
      <alignment horizontal="center" vertical="center" wrapText="1"/>
    </xf>
    <xf numFmtId="0" fontId="5" fillId="2" borderId="113" xfId="0" applyFont="1" applyFill="1" applyBorder="1" applyAlignment="1">
      <alignment horizontal="center" vertical="center" wrapText="1"/>
    </xf>
    <xf numFmtId="0" fontId="5" fillId="2" borderId="115" xfId="0" applyFont="1" applyFill="1" applyBorder="1" applyAlignment="1">
      <alignment vertical="center" wrapText="1"/>
    </xf>
    <xf numFmtId="164" fontId="5" fillId="2" borderId="114" xfId="0" applyNumberFormat="1" applyFont="1" applyFill="1" applyBorder="1" applyAlignment="1">
      <alignment horizontal="center" vertical="center"/>
    </xf>
    <xf numFmtId="2" fontId="3" fillId="2" borderId="58" xfId="0" applyNumberFormat="1" applyFont="1" applyFill="1" applyBorder="1" applyAlignment="1" applyProtection="1">
      <alignment horizontal="center" vertical="center" wrapText="1" shrinkToFit="1"/>
      <protection locked="0"/>
    </xf>
    <xf numFmtId="164" fontId="5" fillId="2" borderId="52" xfId="0" applyNumberFormat="1" applyFont="1" applyFill="1" applyBorder="1" applyAlignment="1">
      <alignment horizontal="center" vertical="center"/>
    </xf>
    <xf numFmtId="164" fontId="5" fillId="2" borderId="53" xfId="0" applyNumberFormat="1" applyFont="1" applyFill="1" applyBorder="1" applyAlignment="1">
      <alignment horizontal="center" vertical="center"/>
    </xf>
    <xf numFmtId="0" fontId="5" fillId="2" borderId="51" xfId="0" applyFont="1" applyFill="1" applyBorder="1" applyAlignment="1">
      <alignment horizontal="center" vertical="center"/>
    </xf>
    <xf numFmtId="2" fontId="5" fillId="2" borderId="33" xfId="0" applyNumberFormat="1" applyFont="1" applyFill="1" applyBorder="1" applyAlignment="1">
      <alignment horizontal="center" vertical="center"/>
    </xf>
    <xf numFmtId="2" fontId="5" fillId="2" borderId="3" xfId="0" applyNumberFormat="1" applyFont="1" applyFill="1" applyBorder="1" applyAlignment="1">
      <alignment horizontal="center" vertical="center"/>
    </xf>
    <xf numFmtId="2" fontId="5" fillId="2" borderId="34" xfId="0" applyNumberFormat="1" applyFont="1" applyFill="1" applyBorder="1" applyAlignment="1">
      <alignment horizontal="center" vertical="center"/>
    </xf>
    <xf numFmtId="1" fontId="5" fillId="2" borderId="33" xfId="0" applyNumberFormat="1" applyFont="1" applyFill="1" applyBorder="1" applyAlignment="1">
      <alignment horizontal="center" vertical="center"/>
    </xf>
    <xf numFmtId="2" fontId="5" fillId="2" borderId="5" xfId="0" applyNumberFormat="1" applyFont="1" applyFill="1" applyBorder="1" applyAlignment="1">
      <alignment horizontal="center" vertical="center"/>
    </xf>
    <xf numFmtId="1" fontId="5" fillId="2" borderId="34" xfId="0" applyNumberFormat="1" applyFont="1" applyFill="1" applyBorder="1" applyAlignment="1">
      <alignment horizontal="center" vertical="center"/>
    </xf>
    <xf numFmtId="2" fontId="5" fillId="2" borderId="119" xfId="0" applyNumberFormat="1" applyFont="1" applyFill="1" applyBorder="1" applyAlignment="1">
      <alignment vertical="center"/>
    </xf>
    <xf numFmtId="0" fontId="5" fillId="2" borderId="52" xfId="0" applyFont="1" applyFill="1" applyBorder="1" applyAlignment="1">
      <alignment horizontal="center" vertical="center"/>
    </xf>
    <xf numFmtId="2" fontId="5" fillId="2" borderId="35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2" fontId="5" fillId="2" borderId="36" xfId="0" applyNumberFormat="1" applyFont="1" applyFill="1" applyBorder="1" applyAlignment="1">
      <alignment horizontal="center" vertical="center"/>
    </xf>
    <xf numFmtId="1" fontId="5" fillId="2" borderId="35" xfId="0" applyNumberFormat="1" applyFont="1" applyFill="1" applyBorder="1" applyAlignment="1">
      <alignment horizontal="center" vertical="center"/>
    </xf>
    <xf numFmtId="2" fontId="5" fillId="2" borderId="6" xfId="0" applyNumberFormat="1" applyFont="1" applyFill="1" applyBorder="1" applyAlignment="1">
      <alignment horizontal="center" vertical="center"/>
    </xf>
    <xf numFmtId="1" fontId="5" fillId="2" borderId="36" xfId="0" applyNumberFormat="1" applyFont="1" applyFill="1" applyBorder="1" applyAlignment="1">
      <alignment horizontal="center" vertical="center"/>
    </xf>
    <xf numFmtId="2" fontId="5" fillId="2" borderId="95" xfId="0" applyNumberFormat="1" applyFont="1" applyFill="1" applyBorder="1" applyAlignment="1">
      <alignment vertical="center"/>
    </xf>
    <xf numFmtId="0" fontId="5" fillId="2" borderId="80" xfId="0" applyFont="1" applyFill="1" applyBorder="1" applyAlignment="1">
      <alignment horizontal="center" vertical="center"/>
    </xf>
    <xf numFmtId="2" fontId="5" fillId="2" borderId="82" xfId="0" applyNumberFormat="1" applyFont="1" applyFill="1" applyBorder="1" applyAlignment="1">
      <alignment horizontal="center" vertical="center"/>
    </xf>
    <xf numFmtId="2" fontId="5" fillId="2" borderId="78" xfId="0" applyNumberFormat="1" applyFont="1" applyFill="1" applyBorder="1" applyAlignment="1">
      <alignment horizontal="center" vertical="center"/>
    </xf>
    <xf numFmtId="2" fontId="5" fillId="2" borderId="83" xfId="0" applyNumberFormat="1" applyFont="1" applyFill="1" applyBorder="1" applyAlignment="1">
      <alignment horizontal="center" vertical="center"/>
    </xf>
    <xf numFmtId="2" fontId="5" fillId="2" borderId="81" xfId="0" applyNumberFormat="1" applyFont="1" applyFill="1" applyBorder="1" applyAlignment="1">
      <alignment horizontal="center" vertical="center"/>
    </xf>
    <xf numFmtId="2" fontId="5" fillId="2" borderId="96" xfId="0" applyNumberFormat="1" applyFont="1" applyFill="1" applyBorder="1" applyAlignment="1">
      <alignment vertical="center"/>
    </xf>
    <xf numFmtId="0" fontId="2" fillId="2" borderId="0" xfId="0" applyFont="1" applyFill="1" applyAlignment="1">
      <alignment horizontal="right"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CFF"/>
      <color rgb="FF66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275167</xdr:colOff>
      <xdr:row>2</xdr:row>
      <xdr:rowOff>402167</xdr:rowOff>
    </xdr:from>
    <xdr:to>
      <xdr:col>0</xdr:col>
      <xdr:colOff>551392</xdr:colOff>
      <xdr:row>2</xdr:row>
      <xdr:rowOff>465665</xdr:rowOff>
    </xdr:to>
    <xdr:sp macro="" textlink="">
      <xdr:nvSpPr>
        <xdr:cNvPr id="2" name="Right Arrow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 flipV="1">
          <a:off x="275167" y="2063750"/>
          <a:ext cx="276225" cy="63498"/>
        </a:xfrm>
        <a:prstGeom prst="rightArrow">
          <a:avLst/>
        </a:prstGeom>
        <a:solidFill>
          <a:srgbClr val="002060">
            <a:alpha val="93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287073</xdr:colOff>
      <xdr:row>2</xdr:row>
      <xdr:rowOff>452439</xdr:rowOff>
    </xdr:from>
    <xdr:to>
      <xdr:col>0</xdr:col>
      <xdr:colOff>553773</xdr:colOff>
      <xdr:row>2</xdr:row>
      <xdr:rowOff>515937</xdr:rowOff>
    </xdr:to>
    <xdr:sp macro="" textlink="">
      <xdr:nvSpPr>
        <xdr:cNvPr id="2" name="Right Arrow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 flipV="1">
          <a:off x="287073" y="2250283"/>
          <a:ext cx="266700" cy="63498"/>
        </a:xfrm>
        <a:prstGeom prst="rightArrow">
          <a:avLst/>
        </a:prstGeom>
        <a:solidFill>
          <a:srgbClr val="0070C0">
            <a:alpha val="93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2</xdr:row>
      <xdr:rowOff>361950</xdr:rowOff>
    </xdr:from>
    <xdr:to>
      <xdr:col>0</xdr:col>
      <xdr:colOff>476250</xdr:colOff>
      <xdr:row>2</xdr:row>
      <xdr:rowOff>425448</xdr:rowOff>
    </xdr:to>
    <xdr:sp macro="" textlink="">
      <xdr:nvSpPr>
        <xdr:cNvPr id="3" name="Right Arrow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 flipV="1">
          <a:off x="200025" y="1981200"/>
          <a:ext cx="276225" cy="63498"/>
        </a:xfrm>
        <a:prstGeom prst="rightArrow">
          <a:avLst/>
        </a:prstGeom>
        <a:solidFill>
          <a:srgbClr val="002060">
            <a:alpha val="93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2</xdr:row>
      <xdr:rowOff>361950</xdr:rowOff>
    </xdr:from>
    <xdr:to>
      <xdr:col>0</xdr:col>
      <xdr:colOff>476250</xdr:colOff>
      <xdr:row>2</xdr:row>
      <xdr:rowOff>425448</xdr:rowOff>
    </xdr:to>
    <xdr:sp macro="" textlink="">
      <xdr:nvSpPr>
        <xdr:cNvPr id="2" name="Right Arrow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 flipV="1">
          <a:off x="200025" y="1981200"/>
          <a:ext cx="276225" cy="63498"/>
        </a:xfrm>
        <a:prstGeom prst="rightArrow">
          <a:avLst/>
        </a:prstGeom>
        <a:solidFill>
          <a:srgbClr val="002060">
            <a:alpha val="93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T31"/>
  <sheetViews>
    <sheetView topLeftCell="A20" zoomScale="85" zoomScaleNormal="85" workbookViewId="0">
      <selection activeCell="A20" sqref="A1:XFD1048576"/>
    </sheetView>
  </sheetViews>
  <sheetFormatPr defaultRowHeight="15" x14ac:dyDescent="0.25"/>
  <cols>
    <col min="1" max="1" width="9.28515625" style="70" customWidth="1"/>
    <col min="2" max="5" width="9.7109375" style="70" customWidth="1"/>
    <col min="6" max="17" width="9.140625" style="70" customWidth="1"/>
    <col min="18" max="18" width="10.7109375" style="70" customWidth="1"/>
    <col min="19" max="19" width="8.140625" style="70" customWidth="1"/>
    <col min="20" max="20" width="28.85546875" style="70" customWidth="1"/>
    <col min="21" max="16384" width="9.140625" style="70"/>
  </cols>
  <sheetData>
    <row r="1" spans="1:20" ht="24.95" customHeight="1" x14ac:dyDescent="0.25">
      <c r="A1" s="61" t="s">
        <v>7</v>
      </c>
      <c r="B1" s="62" t="s">
        <v>13</v>
      </c>
      <c r="C1" s="63"/>
      <c r="D1" s="63"/>
      <c r="E1" s="64"/>
      <c r="F1" s="62" t="s">
        <v>17</v>
      </c>
      <c r="G1" s="63"/>
      <c r="H1" s="63"/>
      <c r="I1" s="63"/>
      <c r="J1" s="63"/>
      <c r="K1" s="63"/>
      <c r="L1" s="63"/>
      <c r="M1" s="63"/>
      <c r="N1" s="64"/>
      <c r="O1" s="65" t="s">
        <v>16</v>
      </c>
      <c r="P1" s="63"/>
      <c r="Q1" s="66"/>
      <c r="R1" s="67" t="s">
        <v>28</v>
      </c>
      <c r="S1" s="68" t="s">
        <v>9</v>
      </c>
      <c r="T1" s="69" t="s">
        <v>8</v>
      </c>
    </row>
    <row r="2" spans="1:20" ht="24.95" customHeight="1" thickBot="1" x14ac:dyDescent="0.3">
      <c r="A2" s="71"/>
      <c r="B2" s="72" t="s">
        <v>11</v>
      </c>
      <c r="C2" s="73" t="s">
        <v>12</v>
      </c>
      <c r="D2" s="73" t="s">
        <v>80</v>
      </c>
      <c r="E2" s="74" t="s">
        <v>25</v>
      </c>
      <c r="F2" s="72" t="s">
        <v>29</v>
      </c>
      <c r="G2" s="73" t="s">
        <v>30</v>
      </c>
      <c r="H2" s="73" t="s">
        <v>31</v>
      </c>
      <c r="I2" s="73" t="s">
        <v>1</v>
      </c>
      <c r="J2" s="73" t="s">
        <v>2</v>
      </c>
      <c r="K2" s="73" t="s">
        <v>32</v>
      </c>
      <c r="L2" s="73" t="s">
        <v>33</v>
      </c>
      <c r="M2" s="73" t="s">
        <v>34</v>
      </c>
      <c r="N2" s="74" t="s">
        <v>3</v>
      </c>
      <c r="O2" s="72" t="s">
        <v>4</v>
      </c>
      <c r="P2" s="73" t="s">
        <v>5</v>
      </c>
      <c r="Q2" s="74" t="s">
        <v>6</v>
      </c>
      <c r="R2" s="75"/>
      <c r="S2" s="76"/>
      <c r="T2" s="77"/>
    </row>
    <row r="3" spans="1:20" ht="40.5" customHeight="1" thickBot="1" x14ac:dyDescent="0.3">
      <c r="A3" s="78" t="s">
        <v>60</v>
      </c>
      <c r="B3" s="79"/>
      <c r="C3" s="80"/>
      <c r="D3" s="80"/>
      <c r="E3" s="81"/>
      <c r="F3" s="79"/>
      <c r="G3" s="80"/>
      <c r="H3" s="80"/>
      <c r="I3" s="80"/>
      <c r="J3" s="82" t="s">
        <v>70</v>
      </c>
      <c r="K3" s="82" t="s">
        <v>66</v>
      </c>
      <c r="L3" s="80"/>
      <c r="M3" s="80"/>
      <c r="N3" s="81"/>
      <c r="O3" s="83" t="s">
        <v>74</v>
      </c>
      <c r="P3" s="82" t="s">
        <v>75</v>
      </c>
      <c r="Q3" s="84" t="s">
        <v>76</v>
      </c>
      <c r="R3" s="83" t="s">
        <v>61</v>
      </c>
      <c r="S3" s="82"/>
      <c r="T3" s="85"/>
    </row>
    <row r="4" spans="1:20" ht="24.95" customHeight="1" thickTop="1" x14ac:dyDescent="0.25">
      <c r="A4" s="86">
        <v>0.29166666666666669</v>
      </c>
      <c r="B4" s="40">
        <f t="shared" ref="B4:B27" si="0">IF(C4="","",100-(C4+D4+E4))</f>
        <v>89.5</v>
      </c>
      <c r="C4" s="41">
        <v>7</v>
      </c>
      <c r="D4" s="41">
        <v>3.5</v>
      </c>
      <c r="E4" s="42">
        <v>0</v>
      </c>
      <c r="F4" s="87">
        <v>13.41</v>
      </c>
      <c r="G4" s="41">
        <v>3.35</v>
      </c>
      <c r="H4" s="41">
        <v>2.73</v>
      </c>
      <c r="I4" s="41">
        <v>40.799999999999997</v>
      </c>
      <c r="J4" s="41">
        <v>2.44</v>
      </c>
      <c r="K4" s="41">
        <v>0.15</v>
      </c>
      <c r="L4" s="41">
        <v>7.0000000000000007E-2</v>
      </c>
      <c r="M4" s="41">
        <v>0.28999999999999998</v>
      </c>
      <c r="N4" s="42">
        <v>0.05</v>
      </c>
      <c r="O4" s="40">
        <f t="shared" ref="O4:O5" si="1">IF(F4="","",100*I4/(2.8*F4+1.18*G4+0.65*H4))</f>
        <v>94.279673256230424</v>
      </c>
      <c r="P4" s="43">
        <f t="shared" ref="P4:P5" si="2">IF(F4="","",F4/(G4+H4))</f>
        <v>2.205592105263158</v>
      </c>
      <c r="Q4" s="44">
        <f t="shared" ref="Q4:Q5" si="3">IF(G4="","",G4/H4)</f>
        <v>1.2271062271062272</v>
      </c>
      <c r="R4" s="87"/>
      <c r="S4" s="88">
        <v>2</v>
      </c>
      <c r="T4" s="89"/>
    </row>
    <row r="5" spans="1:20" ht="24.95" customHeight="1" x14ac:dyDescent="0.25">
      <c r="A5" s="90">
        <v>0.33333333333333298</v>
      </c>
      <c r="B5" s="25">
        <f t="shared" si="0"/>
        <v>89.5</v>
      </c>
      <c r="C5" s="41">
        <v>7</v>
      </c>
      <c r="D5" s="41">
        <v>3.5</v>
      </c>
      <c r="E5" s="42">
        <v>0</v>
      </c>
      <c r="F5" s="91">
        <v>13.4</v>
      </c>
      <c r="G5" s="36">
        <v>3.28</v>
      </c>
      <c r="H5" s="36">
        <v>2.71</v>
      </c>
      <c r="I5" s="36">
        <v>40.89</v>
      </c>
      <c r="J5" s="36">
        <v>2.42</v>
      </c>
      <c r="K5" s="92">
        <v>0.13</v>
      </c>
      <c r="L5" s="92">
        <v>7.0000000000000007E-2</v>
      </c>
      <c r="M5" s="92">
        <v>0.27</v>
      </c>
      <c r="N5" s="93">
        <v>0.05</v>
      </c>
      <c r="O5" s="25">
        <f t="shared" si="1"/>
        <v>94.758284107999899</v>
      </c>
      <c r="P5" s="26">
        <f t="shared" si="2"/>
        <v>2.2370617696160267</v>
      </c>
      <c r="Q5" s="31">
        <f t="shared" si="3"/>
        <v>1.2103321033210332</v>
      </c>
      <c r="R5" s="91">
        <v>11.57</v>
      </c>
      <c r="S5" s="94">
        <v>1</v>
      </c>
      <c r="T5" s="95"/>
    </row>
    <row r="6" spans="1:20" ht="24.95" customHeight="1" x14ac:dyDescent="0.25">
      <c r="A6" s="90">
        <v>0.375</v>
      </c>
      <c r="B6" s="25">
        <f t="shared" si="0"/>
        <v>89.5</v>
      </c>
      <c r="C6" s="41">
        <v>7</v>
      </c>
      <c r="D6" s="41">
        <v>3.5</v>
      </c>
      <c r="E6" s="42">
        <v>0</v>
      </c>
      <c r="F6" s="91">
        <v>13.46</v>
      </c>
      <c r="G6" s="36">
        <v>3.34</v>
      </c>
      <c r="H6" s="36">
        <v>2.71</v>
      </c>
      <c r="I6" s="36">
        <v>40.83</v>
      </c>
      <c r="J6" s="36">
        <v>2.44</v>
      </c>
      <c r="K6" s="36">
        <v>0.15</v>
      </c>
      <c r="L6" s="36">
        <v>7.0000000000000007E-2</v>
      </c>
      <c r="M6" s="36">
        <v>0.28000000000000003</v>
      </c>
      <c r="N6" s="37">
        <v>0.05</v>
      </c>
      <c r="O6" s="25">
        <f t="shared" ref="O6:O27" si="4">IF(F6="","",100*I6/(2.8*F6+1.18*G6+0.65*H6))</f>
        <v>94.098504979177562</v>
      </c>
      <c r="P6" s="26">
        <f t="shared" ref="P6:P27" si="5">IF(F6="","",F6/(G6+H6))</f>
        <v>2.2247933884297524</v>
      </c>
      <c r="Q6" s="31">
        <f t="shared" ref="Q6:Q27" si="6">IF(G6="","",G6/H6)</f>
        <v>1.2324723247232472</v>
      </c>
      <c r="R6" s="91"/>
      <c r="S6" s="96">
        <v>1</v>
      </c>
      <c r="T6" s="95"/>
    </row>
    <row r="7" spans="1:20" ht="24.95" customHeight="1" x14ac:dyDescent="0.25">
      <c r="A7" s="90">
        <v>0.41666666666666702</v>
      </c>
      <c r="B7" s="25">
        <f t="shared" si="0"/>
        <v>89.5</v>
      </c>
      <c r="C7" s="41">
        <v>7</v>
      </c>
      <c r="D7" s="41">
        <v>3.5</v>
      </c>
      <c r="E7" s="42">
        <v>0</v>
      </c>
      <c r="F7" s="91">
        <v>13.4</v>
      </c>
      <c r="G7" s="36">
        <v>3.36</v>
      </c>
      <c r="H7" s="36">
        <v>2.73</v>
      </c>
      <c r="I7" s="36">
        <v>40.71</v>
      </c>
      <c r="J7" s="36">
        <v>2.39</v>
      </c>
      <c r="K7" s="36">
        <v>0.14000000000000001</v>
      </c>
      <c r="L7" s="36">
        <v>7.0000000000000007E-2</v>
      </c>
      <c r="M7" s="36">
        <v>0.28999999999999998</v>
      </c>
      <c r="N7" s="37">
        <v>0.05</v>
      </c>
      <c r="O7" s="25">
        <f t="shared" si="4"/>
        <v>94.106931919841529</v>
      </c>
      <c r="P7" s="26">
        <f t="shared" si="5"/>
        <v>2.2003284072249589</v>
      </c>
      <c r="Q7" s="31">
        <f t="shared" si="6"/>
        <v>1.2307692307692308</v>
      </c>
      <c r="R7" s="91">
        <v>11.48</v>
      </c>
      <c r="S7" s="96">
        <v>1</v>
      </c>
      <c r="T7" s="95"/>
    </row>
    <row r="8" spans="1:20" ht="24.95" customHeight="1" x14ac:dyDescent="0.25">
      <c r="A8" s="90">
        <v>0.45833333333333298</v>
      </c>
      <c r="B8" s="25">
        <f t="shared" si="0"/>
        <v>89.5</v>
      </c>
      <c r="C8" s="41">
        <v>7</v>
      </c>
      <c r="D8" s="41">
        <v>3.5</v>
      </c>
      <c r="E8" s="42">
        <v>0</v>
      </c>
      <c r="F8" s="91">
        <v>13.39</v>
      </c>
      <c r="G8" s="36">
        <v>3.32</v>
      </c>
      <c r="H8" s="36">
        <v>2.7</v>
      </c>
      <c r="I8" s="36">
        <v>40.74</v>
      </c>
      <c r="J8" s="36">
        <v>2.36</v>
      </c>
      <c r="K8" s="36">
        <v>0.15</v>
      </c>
      <c r="L8" s="36">
        <v>0.08</v>
      </c>
      <c r="M8" s="36">
        <v>0.28000000000000003</v>
      </c>
      <c r="N8" s="37">
        <v>0.05</v>
      </c>
      <c r="O8" s="25">
        <f t="shared" si="4"/>
        <v>94.38289709623163</v>
      </c>
      <c r="P8" s="26">
        <f t="shared" si="5"/>
        <v>2.2242524916943522</v>
      </c>
      <c r="Q8" s="31">
        <f t="shared" si="6"/>
        <v>1.2296296296296294</v>
      </c>
      <c r="R8" s="91"/>
      <c r="S8" s="96">
        <v>1</v>
      </c>
      <c r="T8" s="95"/>
    </row>
    <row r="9" spans="1:20" ht="24.95" customHeight="1" x14ac:dyDescent="0.25">
      <c r="A9" s="90">
        <v>0.5</v>
      </c>
      <c r="B9" s="25">
        <f t="shared" si="0"/>
        <v>89.5</v>
      </c>
      <c r="C9" s="41">
        <v>7</v>
      </c>
      <c r="D9" s="41">
        <v>3.5</v>
      </c>
      <c r="E9" s="42">
        <v>0</v>
      </c>
      <c r="F9" s="91">
        <v>13.44</v>
      </c>
      <c r="G9" s="36">
        <v>3.38</v>
      </c>
      <c r="H9" s="36">
        <v>2.57</v>
      </c>
      <c r="I9" s="36">
        <v>40.869999999999997</v>
      </c>
      <c r="J9" s="36">
        <v>2.4300000000000002</v>
      </c>
      <c r="K9" s="36">
        <v>0.16</v>
      </c>
      <c r="L9" s="36">
        <v>0.08</v>
      </c>
      <c r="M9" s="36">
        <v>0.28000000000000003</v>
      </c>
      <c r="N9" s="37">
        <v>0.05</v>
      </c>
      <c r="O9" s="25">
        <f t="shared" si="4"/>
        <v>94.407831669011273</v>
      </c>
      <c r="P9" s="26">
        <f t="shared" si="5"/>
        <v>2.2588235294117647</v>
      </c>
      <c r="Q9" s="31">
        <f t="shared" si="6"/>
        <v>1.3151750972762646</v>
      </c>
      <c r="R9" s="91">
        <v>11.39</v>
      </c>
      <c r="S9" s="96">
        <v>2</v>
      </c>
      <c r="T9" s="95"/>
    </row>
    <row r="10" spans="1:20" ht="24.95" customHeight="1" x14ac:dyDescent="0.25">
      <c r="A10" s="90">
        <v>0.54166666666666696</v>
      </c>
      <c r="B10" s="25">
        <f t="shared" si="0"/>
        <v>89.5</v>
      </c>
      <c r="C10" s="41">
        <v>7</v>
      </c>
      <c r="D10" s="41">
        <v>3.5</v>
      </c>
      <c r="E10" s="42">
        <v>0</v>
      </c>
      <c r="F10" s="91">
        <v>13.49</v>
      </c>
      <c r="G10" s="36">
        <v>3.39</v>
      </c>
      <c r="H10" s="36">
        <v>2.35</v>
      </c>
      <c r="I10" s="36">
        <v>40.869999999999997</v>
      </c>
      <c r="J10" s="36">
        <v>2.41</v>
      </c>
      <c r="K10" s="36">
        <v>0.15</v>
      </c>
      <c r="L10" s="36">
        <v>7.0000000000000007E-2</v>
      </c>
      <c r="M10" s="36">
        <v>0.28000000000000003</v>
      </c>
      <c r="N10" s="37">
        <v>0.05</v>
      </c>
      <c r="O10" s="25">
        <f t="shared" si="4"/>
        <v>94.38864472502118</v>
      </c>
      <c r="P10" s="26">
        <f t="shared" si="5"/>
        <v>2.3501742160278747</v>
      </c>
      <c r="Q10" s="31">
        <f t="shared" si="6"/>
        <v>1.4425531914893617</v>
      </c>
      <c r="S10" s="96">
        <v>2</v>
      </c>
      <c r="T10" s="95"/>
    </row>
    <row r="11" spans="1:20" ht="24.95" customHeight="1" x14ac:dyDescent="0.25">
      <c r="A11" s="90">
        <v>0.58333333333333304</v>
      </c>
      <c r="B11" s="25">
        <f t="shared" si="0"/>
        <v>89.5</v>
      </c>
      <c r="C11" s="41">
        <v>7</v>
      </c>
      <c r="D11" s="41">
        <v>3.5</v>
      </c>
      <c r="E11" s="42">
        <v>0</v>
      </c>
      <c r="F11" s="91">
        <v>13.54</v>
      </c>
      <c r="G11" s="36">
        <v>3.43</v>
      </c>
      <c r="H11" s="36">
        <v>2.19</v>
      </c>
      <c r="I11" s="36">
        <v>40.97</v>
      </c>
      <c r="J11" s="36">
        <v>2.42</v>
      </c>
      <c r="K11" s="36">
        <v>0.14000000000000001</v>
      </c>
      <c r="L11" s="36">
        <v>0.08</v>
      </c>
      <c r="M11" s="36">
        <v>0.28000000000000003</v>
      </c>
      <c r="N11" s="37">
        <v>0.05</v>
      </c>
      <c r="O11" s="25">
        <f t="shared" si="4"/>
        <v>94.438131153058038</v>
      </c>
      <c r="P11" s="26">
        <f t="shared" si="5"/>
        <v>2.4092526690391458</v>
      </c>
      <c r="Q11" s="31">
        <f t="shared" si="6"/>
        <v>1.5662100456621006</v>
      </c>
      <c r="R11" s="91">
        <v>10.99</v>
      </c>
      <c r="S11" s="96">
        <v>1</v>
      </c>
      <c r="T11" s="95"/>
    </row>
    <row r="12" spans="1:20" ht="24.95" customHeight="1" x14ac:dyDescent="0.25">
      <c r="A12" s="90">
        <v>0.625</v>
      </c>
      <c r="B12" s="25" t="str">
        <f t="shared" si="0"/>
        <v/>
      </c>
      <c r="C12" s="41"/>
      <c r="D12" s="41"/>
      <c r="E12" s="42"/>
      <c r="F12" s="91"/>
      <c r="G12" s="36"/>
      <c r="H12" s="36"/>
      <c r="I12" s="36"/>
      <c r="J12" s="36"/>
      <c r="K12" s="36"/>
      <c r="L12" s="36"/>
      <c r="M12" s="36"/>
      <c r="N12" s="37"/>
      <c r="O12" s="25" t="str">
        <f t="shared" si="4"/>
        <v/>
      </c>
      <c r="P12" s="26" t="str">
        <f t="shared" si="5"/>
        <v/>
      </c>
      <c r="Q12" s="31" t="str">
        <f t="shared" si="6"/>
        <v/>
      </c>
      <c r="R12" s="91"/>
      <c r="S12" s="96"/>
      <c r="T12" s="95"/>
    </row>
    <row r="13" spans="1:20" ht="24.95" customHeight="1" x14ac:dyDescent="0.25">
      <c r="A13" s="90">
        <v>0.66666666666666696</v>
      </c>
      <c r="B13" s="25" t="str">
        <f t="shared" si="0"/>
        <v/>
      </c>
      <c r="C13" s="36"/>
      <c r="D13" s="36"/>
      <c r="E13" s="37"/>
      <c r="F13" s="91"/>
      <c r="G13" s="36"/>
      <c r="H13" s="36"/>
      <c r="I13" s="36"/>
      <c r="J13" s="36"/>
      <c r="K13" s="36"/>
      <c r="L13" s="36"/>
      <c r="M13" s="36"/>
      <c r="N13" s="37"/>
      <c r="O13" s="25" t="str">
        <f t="shared" si="4"/>
        <v/>
      </c>
      <c r="P13" s="26" t="str">
        <f t="shared" si="5"/>
        <v/>
      </c>
      <c r="Q13" s="31" t="str">
        <f t="shared" si="6"/>
        <v/>
      </c>
      <c r="R13" s="91"/>
      <c r="S13" s="96"/>
      <c r="T13" s="95"/>
    </row>
    <row r="14" spans="1:20" ht="24.95" customHeight="1" x14ac:dyDescent="0.25">
      <c r="A14" s="90">
        <v>0.70833333333333304</v>
      </c>
      <c r="B14" s="25">
        <f t="shared" si="0"/>
        <v>89.1</v>
      </c>
      <c r="C14" s="36">
        <v>7</v>
      </c>
      <c r="D14" s="36">
        <v>3.5</v>
      </c>
      <c r="E14" s="37">
        <v>0.4</v>
      </c>
      <c r="F14" s="91">
        <v>13.53</v>
      </c>
      <c r="G14" s="36">
        <v>3.41</v>
      </c>
      <c r="H14" s="36">
        <v>2.2200000000000002</v>
      </c>
      <c r="I14" s="36">
        <v>40.86</v>
      </c>
      <c r="J14" s="36">
        <v>2.42</v>
      </c>
      <c r="K14" s="36">
        <v>0.16</v>
      </c>
      <c r="L14" s="36">
        <v>7.0000000000000007E-2</v>
      </c>
      <c r="M14" s="36">
        <v>0.28000000000000003</v>
      </c>
      <c r="N14" s="37">
        <v>0.05</v>
      </c>
      <c r="O14" s="25">
        <f t="shared" si="4"/>
        <v>94.254315952646792</v>
      </c>
      <c r="P14" s="26">
        <f t="shared" si="5"/>
        <v>2.4031971580817046</v>
      </c>
      <c r="Q14" s="31">
        <f t="shared" si="6"/>
        <v>1.5360360360360359</v>
      </c>
      <c r="R14" s="91"/>
      <c r="S14" s="96">
        <v>1</v>
      </c>
      <c r="T14" s="95"/>
    </row>
    <row r="15" spans="1:20" ht="24.95" customHeight="1" x14ac:dyDescent="0.25">
      <c r="A15" s="90">
        <v>0.75</v>
      </c>
      <c r="B15" s="25">
        <f t="shared" si="0"/>
        <v>88.9</v>
      </c>
      <c r="C15" s="36">
        <v>6.8</v>
      </c>
      <c r="D15" s="36">
        <v>3.5</v>
      </c>
      <c r="E15" s="37">
        <v>0.8</v>
      </c>
      <c r="F15" s="91">
        <v>13.51</v>
      </c>
      <c r="G15" s="36">
        <v>3.41</v>
      </c>
      <c r="H15" s="36">
        <v>2.25</v>
      </c>
      <c r="I15" s="36">
        <v>40.76</v>
      </c>
      <c r="J15" s="36">
        <v>2.4</v>
      </c>
      <c r="K15" s="36">
        <v>0.17</v>
      </c>
      <c r="L15" s="36">
        <v>7.0000000000000007E-2</v>
      </c>
      <c r="M15" s="36">
        <v>0.28999999999999998</v>
      </c>
      <c r="N15" s="37">
        <v>0.05</v>
      </c>
      <c r="O15" s="25">
        <f t="shared" si="4"/>
        <v>94.102871338103128</v>
      </c>
      <c r="P15" s="26">
        <f t="shared" si="5"/>
        <v>2.3869257950530036</v>
      </c>
      <c r="Q15" s="31">
        <f t="shared" si="6"/>
        <v>1.5155555555555555</v>
      </c>
      <c r="R15" s="91">
        <v>11.74</v>
      </c>
      <c r="S15" s="96">
        <v>1</v>
      </c>
      <c r="T15" s="95"/>
    </row>
    <row r="16" spans="1:20" ht="24.95" customHeight="1" x14ac:dyDescent="0.25">
      <c r="A16" s="90">
        <v>0.79166666666666696</v>
      </c>
      <c r="B16" s="25">
        <f t="shared" si="0"/>
        <v>88.8</v>
      </c>
      <c r="C16" s="36">
        <v>6.6</v>
      </c>
      <c r="D16" s="36">
        <v>3.5</v>
      </c>
      <c r="E16" s="37">
        <v>1.1000000000000001</v>
      </c>
      <c r="F16" s="91">
        <v>13.47</v>
      </c>
      <c r="G16" s="36">
        <v>3.34</v>
      </c>
      <c r="H16" s="36">
        <v>2.54</v>
      </c>
      <c r="I16" s="36">
        <v>40.83</v>
      </c>
      <c r="J16" s="36">
        <v>2.4500000000000002</v>
      </c>
      <c r="K16" s="36">
        <v>0.17</v>
      </c>
      <c r="L16" s="36">
        <v>7.0000000000000007E-2</v>
      </c>
      <c r="M16" s="36">
        <v>0.27</v>
      </c>
      <c r="N16" s="37">
        <v>0.05</v>
      </c>
      <c r="O16" s="25">
        <f t="shared" si="4"/>
        <v>94.277758022730097</v>
      </c>
      <c r="P16" s="26">
        <f t="shared" si="5"/>
        <v>2.2908163265306123</v>
      </c>
      <c r="Q16" s="31">
        <f t="shared" si="6"/>
        <v>1.3149606299212597</v>
      </c>
      <c r="R16" s="91"/>
      <c r="S16" s="96">
        <v>2</v>
      </c>
      <c r="T16" s="95"/>
    </row>
    <row r="17" spans="1:20" ht="24.95" customHeight="1" x14ac:dyDescent="0.25">
      <c r="A17" s="90">
        <v>0.83333333333333304</v>
      </c>
      <c r="B17" s="25">
        <f t="shared" si="0"/>
        <v>88.8</v>
      </c>
      <c r="C17" s="36">
        <v>6.8</v>
      </c>
      <c r="D17" s="36">
        <v>3.3</v>
      </c>
      <c r="E17" s="37">
        <v>1.1000000000000001</v>
      </c>
      <c r="F17" s="91">
        <v>13.47</v>
      </c>
      <c r="G17" s="36">
        <v>3.35</v>
      </c>
      <c r="H17" s="36">
        <v>2.6</v>
      </c>
      <c r="I17" s="36">
        <v>40.770000000000003</v>
      </c>
      <c r="J17" s="36">
        <v>2.44</v>
      </c>
      <c r="K17" s="36">
        <v>0.18</v>
      </c>
      <c r="L17" s="36">
        <v>7.0000000000000007E-2</v>
      </c>
      <c r="M17" s="36">
        <v>0.28000000000000003</v>
      </c>
      <c r="N17" s="37">
        <v>0.05</v>
      </c>
      <c r="O17" s="25">
        <f t="shared" si="4"/>
        <v>94.028921331211521</v>
      </c>
      <c r="P17" s="26">
        <f t="shared" si="5"/>
        <v>2.2638655462184873</v>
      </c>
      <c r="Q17" s="31">
        <f t="shared" si="6"/>
        <v>1.2884615384615385</v>
      </c>
      <c r="R17" s="91">
        <v>11.28</v>
      </c>
      <c r="S17" s="96">
        <v>2</v>
      </c>
      <c r="T17" s="95"/>
    </row>
    <row r="18" spans="1:20" ht="24.95" customHeight="1" x14ac:dyDescent="0.25">
      <c r="A18" s="90">
        <v>0.875</v>
      </c>
      <c r="B18" s="25">
        <f t="shared" si="0"/>
        <v>88.9</v>
      </c>
      <c r="C18" s="36">
        <v>6.8</v>
      </c>
      <c r="D18" s="36">
        <v>3.3</v>
      </c>
      <c r="E18" s="37">
        <v>1</v>
      </c>
      <c r="F18" s="91">
        <v>13.47</v>
      </c>
      <c r="G18" s="36">
        <v>3.38</v>
      </c>
      <c r="H18" s="36">
        <v>2.61</v>
      </c>
      <c r="I18" s="36">
        <v>40.82</v>
      </c>
      <c r="J18" s="36">
        <v>2.46</v>
      </c>
      <c r="K18" s="36">
        <v>0.2</v>
      </c>
      <c r="L18" s="36">
        <v>7.0000000000000007E-2</v>
      </c>
      <c r="M18" s="36">
        <v>0.28999999999999998</v>
      </c>
      <c r="N18" s="37">
        <v>0.05</v>
      </c>
      <c r="O18" s="25">
        <f t="shared" si="4"/>
        <v>94.053349124096499</v>
      </c>
      <c r="P18" s="26">
        <f t="shared" si="5"/>
        <v>2.2487479131886476</v>
      </c>
      <c r="Q18" s="31">
        <f t="shared" si="6"/>
        <v>1.2950191570881227</v>
      </c>
      <c r="R18" s="91"/>
      <c r="S18" s="96">
        <v>2</v>
      </c>
      <c r="T18" s="95"/>
    </row>
    <row r="19" spans="1:20" ht="24.95" customHeight="1" x14ac:dyDescent="0.25">
      <c r="A19" s="90">
        <v>0.91666666666666696</v>
      </c>
      <c r="B19" s="25">
        <f t="shared" si="0"/>
        <v>89.2</v>
      </c>
      <c r="C19" s="36">
        <v>6.9</v>
      </c>
      <c r="D19" s="36">
        <v>3</v>
      </c>
      <c r="E19" s="37">
        <v>0.9</v>
      </c>
      <c r="F19" s="91">
        <v>13.53</v>
      </c>
      <c r="G19" s="36">
        <v>3.34</v>
      </c>
      <c r="H19" s="36">
        <v>2.57</v>
      </c>
      <c r="I19" s="36">
        <v>40.72</v>
      </c>
      <c r="J19" s="36">
        <v>2.39</v>
      </c>
      <c r="K19" s="36">
        <v>0.17</v>
      </c>
      <c r="L19" s="36">
        <v>7.0000000000000007E-2</v>
      </c>
      <c r="M19" s="36">
        <v>0.28999999999999998</v>
      </c>
      <c r="N19" s="37">
        <v>0.05</v>
      </c>
      <c r="O19" s="25">
        <f t="shared" si="4"/>
        <v>93.618449639849473</v>
      </c>
      <c r="P19" s="26">
        <f t="shared" si="5"/>
        <v>2.2893401015228423</v>
      </c>
      <c r="Q19" s="31">
        <f t="shared" si="6"/>
        <v>1.2996108949416343</v>
      </c>
      <c r="R19" s="91">
        <v>11.42</v>
      </c>
      <c r="S19" s="96">
        <v>1</v>
      </c>
      <c r="T19" s="95"/>
    </row>
    <row r="20" spans="1:20" ht="24.95" customHeight="1" x14ac:dyDescent="0.25">
      <c r="A20" s="90">
        <v>0.95833333333333304</v>
      </c>
      <c r="B20" s="25">
        <f t="shared" si="0"/>
        <v>89.5</v>
      </c>
      <c r="C20" s="36">
        <v>6.9</v>
      </c>
      <c r="D20" s="36">
        <v>2.7</v>
      </c>
      <c r="E20" s="37">
        <v>0.9</v>
      </c>
      <c r="F20" s="91">
        <v>13.45</v>
      </c>
      <c r="G20" s="36">
        <v>3.26</v>
      </c>
      <c r="H20" s="36">
        <v>2.5099999999999998</v>
      </c>
      <c r="I20" s="36">
        <v>40.93</v>
      </c>
      <c r="J20" s="36">
        <v>2.36</v>
      </c>
      <c r="K20" s="36">
        <v>0.18</v>
      </c>
      <c r="L20" s="36">
        <v>7.0000000000000007E-2</v>
      </c>
      <c r="M20" s="36">
        <v>0.28000000000000003</v>
      </c>
      <c r="N20" s="37">
        <v>0.05</v>
      </c>
      <c r="O20" s="25">
        <f t="shared" si="4"/>
        <v>94.880883113150034</v>
      </c>
      <c r="P20" s="26">
        <f t="shared" si="5"/>
        <v>2.3310225303292893</v>
      </c>
      <c r="Q20" s="31">
        <f t="shared" si="6"/>
        <v>1.298804780876494</v>
      </c>
      <c r="R20" s="91"/>
      <c r="S20" s="96">
        <v>1</v>
      </c>
      <c r="T20" s="95"/>
    </row>
    <row r="21" spans="1:20" ht="24.95" customHeight="1" x14ac:dyDescent="0.25">
      <c r="A21" s="90">
        <v>1</v>
      </c>
      <c r="B21" s="25">
        <f t="shared" si="0"/>
        <v>89.3</v>
      </c>
      <c r="C21" s="36">
        <v>7.1</v>
      </c>
      <c r="D21" s="36">
        <v>2.7</v>
      </c>
      <c r="E21" s="37">
        <v>0.9</v>
      </c>
      <c r="F21" s="91">
        <v>13.47</v>
      </c>
      <c r="G21" s="36">
        <v>3.27</v>
      </c>
      <c r="H21" s="36">
        <v>2.54</v>
      </c>
      <c r="I21" s="36">
        <v>40.78</v>
      </c>
      <c r="J21" s="36">
        <v>2.44</v>
      </c>
      <c r="K21" s="36">
        <v>0.17</v>
      </c>
      <c r="L21" s="36">
        <v>7.0000000000000007E-2</v>
      </c>
      <c r="M21" s="36">
        <v>0.28000000000000003</v>
      </c>
      <c r="N21" s="37">
        <v>0.05</v>
      </c>
      <c r="O21" s="25">
        <f t="shared" si="4"/>
        <v>94.342241634586898</v>
      </c>
      <c r="P21" s="26">
        <f t="shared" si="5"/>
        <v>2.3184165232358001</v>
      </c>
      <c r="Q21" s="31">
        <f t="shared" si="6"/>
        <v>1.2874015748031495</v>
      </c>
      <c r="R21" s="91">
        <v>11.27</v>
      </c>
      <c r="S21" s="96">
        <v>2</v>
      </c>
      <c r="T21" s="95"/>
    </row>
    <row r="22" spans="1:20" ht="24.95" customHeight="1" x14ac:dyDescent="0.25">
      <c r="A22" s="90">
        <v>1.0416666666666701</v>
      </c>
      <c r="B22" s="25">
        <f t="shared" si="0"/>
        <v>89.1</v>
      </c>
      <c r="C22" s="36">
        <v>7.3</v>
      </c>
      <c r="D22" s="36">
        <v>2.7</v>
      </c>
      <c r="E22" s="37">
        <v>0.9</v>
      </c>
      <c r="F22" s="91">
        <v>13.52</v>
      </c>
      <c r="G22" s="36">
        <v>3.23</v>
      </c>
      <c r="H22" s="36">
        <v>2.56</v>
      </c>
      <c r="I22" s="36">
        <v>40.92</v>
      </c>
      <c r="J22" s="36">
        <v>2.4300000000000002</v>
      </c>
      <c r="K22" s="36">
        <v>0.17</v>
      </c>
      <c r="L22" s="36">
        <v>0.08</v>
      </c>
      <c r="M22" s="36">
        <v>0.28000000000000003</v>
      </c>
      <c r="N22" s="37">
        <v>0.05</v>
      </c>
      <c r="O22" s="25">
        <f t="shared" si="4"/>
        <v>94.434982483833906</v>
      </c>
      <c r="P22" s="26">
        <f t="shared" si="5"/>
        <v>2.3350604490500864</v>
      </c>
      <c r="Q22" s="31">
        <f t="shared" si="6"/>
        <v>1.26171875</v>
      </c>
      <c r="R22" s="91"/>
      <c r="S22" s="96">
        <v>2</v>
      </c>
      <c r="T22" s="95"/>
    </row>
    <row r="23" spans="1:20" ht="24.95" customHeight="1" x14ac:dyDescent="0.25">
      <c r="A23" s="90">
        <v>1.0833333333333299</v>
      </c>
      <c r="B23" s="25">
        <f t="shared" si="0"/>
        <v>88.9</v>
      </c>
      <c r="C23" s="36">
        <v>7.6</v>
      </c>
      <c r="D23" s="36">
        <v>2.7</v>
      </c>
      <c r="E23" s="37">
        <v>0.8</v>
      </c>
      <c r="F23" s="91">
        <v>13.52</v>
      </c>
      <c r="G23" s="36">
        <v>3.24</v>
      </c>
      <c r="H23" s="36">
        <v>2.58</v>
      </c>
      <c r="I23" s="36">
        <v>40.92</v>
      </c>
      <c r="J23" s="36">
        <v>2.4</v>
      </c>
      <c r="K23" s="36">
        <v>0.16</v>
      </c>
      <c r="L23" s="36">
        <v>7.0000000000000007E-2</v>
      </c>
      <c r="M23" s="36">
        <v>0.28000000000000003</v>
      </c>
      <c r="N23" s="37">
        <v>0.05</v>
      </c>
      <c r="O23" s="25">
        <f t="shared" si="4"/>
        <v>94.380965121482063</v>
      </c>
      <c r="P23" s="26">
        <f t="shared" si="5"/>
        <v>2.3230240549828176</v>
      </c>
      <c r="Q23" s="31">
        <f t="shared" si="6"/>
        <v>1.2558139534883721</v>
      </c>
      <c r="R23" s="91">
        <v>11.2</v>
      </c>
      <c r="S23" s="96">
        <v>2</v>
      </c>
      <c r="T23" s="95"/>
    </row>
    <row r="24" spans="1:20" ht="24.95" customHeight="1" x14ac:dyDescent="0.25">
      <c r="A24" s="90">
        <v>1.125</v>
      </c>
      <c r="B24" s="25">
        <f t="shared" si="0"/>
        <v>88.4</v>
      </c>
      <c r="C24" s="36">
        <v>8.1999999999999993</v>
      </c>
      <c r="D24" s="36">
        <v>2.7</v>
      </c>
      <c r="E24" s="37">
        <v>0.7</v>
      </c>
      <c r="F24" s="91">
        <v>13.48</v>
      </c>
      <c r="G24" s="36">
        <v>3.29</v>
      </c>
      <c r="H24" s="36">
        <v>2.54</v>
      </c>
      <c r="I24" s="36">
        <v>40.85</v>
      </c>
      <c r="J24" s="36">
        <v>2.39</v>
      </c>
      <c r="K24" s="36">
        <v>0.17</v>
      </c>
      <c r="L24" s="36">
        <v>7.0000000000000007E-2</v>
      </c>
      <c r="M24" s="36">
        <v>0.27</v>
      </c>
      <c r="N24" s="37">
        <v>0.05</v>
      </c>
      <c r="O24" s="25">
        <f t="shared" si="4"/>
        <v>94.391504071427903</v>
      </c>
      <c r="P24" s="26">
        <f t="shared" si="5"/>
        <v>2.3121783876500857</v>
      </c>
      <c r="Q24" s="31">
        <f t="shared" si="6"/>
        <v>1.295275590551181</v>
      </c>
      <c r="R24" s="91"/>
      <c r="S24" s="96">
        <v>1</v>
      </c>
      <c r="T24" s="95"/>
    </row>
    <row r="25" spans="1:20" ht="24.95" customHeight="1" x14ac:dyDescent="0.25">
      <c r="A25" s="90">
        <v>1.1666666666666701</v>
      </c>
      <c r="B25" s="25">
        <f t="shared" si="0"/>
        <v>88</v>
      </c>
      <c r="C25" s="36">
        <v>9</v>
      </c>
      <c r="D25" s="36">
        <v>2.5</v>
      </c>
      <c r="E25" s="37">
        <v>0.5</v>
      </c>
      <c r="F25" s="91">
        <v>13.42</v>
      </c>
      <c r="G25" s="36">
        <v>3.24</v>
      </c>
      <c r="H25" s="36">
        <v>2.41</v>
      </c>
      <c r="I25" s="36">
        <v>41.13</v>
      </c>
      <c r="J25" s="36">
        <v>2.38</v>
      </c>
      <c r="K25" s="36">
        <v>0.13</v>
      </c>
      <c r="L25" s="36">
        <v>7.0000000000000007E-2</v>
      </c>
      <c r="M25" s="36">
        <v>0.26</v>
      </c>
      <c r="N25" s="37">
        <v>0.05</v>
      </c>
      <c r="O25" s="25">
        <f t="shared" si="4"/>
        <v>95.727522186302096</v>
      </c>
      <c r="P25" s="26">
        <f t="shared" si="5"/>
        <v>2.3752212389380531</v>
      </c>
      <c r="Q25" s="31">
        <f t="shared" si="6"/>
        <v>1.3443983402489628</v>
      </c>
      <c r="R25" s="91">
        <v>11.41</v>
      </c>
      <c r="S25" s="96">
        <v>1</v>
      </c>
      <c r="T25" s="95"/>
    </row>
    <row r="26" spans="1:20" ht="24.95" customHeight="1" x14ac:dyDescent="0.25">
      <c r="A26" s="90">
        <v>1.2083333333333299</v>
      </c>
      <c r="B26" s="25">
        <f t="shared" si="0"/>
        <v>86</v>
      </c>
      <c r="C26" s="36">
        <v>11</v>
      </c>
      <c r="D26" s="36">
        <v>2.5</v>
      </c>
      <c r="E26" s="37">
        <v>0.5</v>
      </c>
      <c r="F26" s="91">
        <v>13.27</v>
      </c>
      <c r="G26" s="36">
        <v>3.37</v>
      </c>
      <c r="H26" s="36">
        <v>2.4</v>
      </c>
      <c r="I26" s="36">
        <v>41.1</v>
      </c>
      <c r="J26" s="36">
        <v>2.39</v>
      </c>
      <c r="K26" s="36">
        <v>0.15</v>
      </c>
      <c r="L26" s="36">
        <v>7.0000000000000007E-2</v>
      </c>
      <c r="M26" s="36">
        <v>0.25</v>
      </c>
      <c r="N26" s="37">
        <v>0.05</v>
      </c>
      <c r="O26" s="25">
        <f t="shared" si="4"/>
        <v>96.269611126986888</v>
      </c>
      <c r="P26" s="26">
        <f t="shared" si="5"/>
        <v>2.2998266897746968</v>
      </c>
      <c r="Q26" s="31">
        <f t="shared" si="6"/>
        <v>1.4041666666666668</v>
      </c>
      <c r="R26" s="91"/>
      <c r="S26" s="96">
        <v>1</v>
      </c>
      <c r="T26" s="95"/>
    </row>
    <row r="27" spans="1:20" ht="24.95" customHeight="1" thickBot="1" x14ac:dyDescent="0.3">
      <c r="A27" s="97">
        <v>1.25</v>
      </c>
      <c r="B27" s="38">
        <f t="shared" si="0"/>
        <v>85.9</v>
      </c>
      <c r="C27" s="36">
        <v>11</v>
      </c>
      <c r="D27" s="36">
        <v>2.5</v>
      </c>
      <c r="E27" s="37">
        <v>0.6</v>
      </c>
      <c r="F27" s="98">
        <v>13.42</v>
      </c>
      <c r="G27" s="99">
        <v>3.48</v>
      </c>
      <c r="H27" s="99">
        <v>2.52</v>
      </c>
      <c r="I27" s="99">
        <v>40.99</v>
      </c>
      <c r="J27" s="99">
        <v>2.27</v>
      </c>
      <c r="K27" s="99">
        <v>0.21</v>
      </c>
      <c r="L27" s="99">
        <v>0.08</v>
      </c>
      <c r="M27" s="99">
        <v>0.28000000000000003</v>
      </c>
      <c r="N27" s="100">
        <v>0.06</v>
      </c>
      <c r="O27" s="28">
        <f t="shared" si="4"/>
        <v>94.620548286719426</v>
      </c>
      <c r="P27" s="29">
        <f t="shared" si="5"/>
        <v>2.2366666666666668</v>
      </c>
      <c r="Q27" s="32">
        <f t="shared" si="6"/>
        <v>1.3809523809523809</v>
      </c>
      <c r="R27" s="101">
        <v>11.32</v>
      </c>
      <c r="S27" s="102">
        <v>2</v>
      </c>
      <c r="T27" s="95"/>
    </row>
    <row r="28" spans="1:20" ht="24.95" customHeight="1" thickTop="1" thickBot="1" x14ac:dyDescent="0.3">
      <c r="A28" s="103" t="s">
        <v>10</v>
      </c>
      <c r="B28" s="104">
        <f>AVERAGE(B4:B27)</f>
        <v>88.854545454545459</v>
      </c>
      <c r="C28" s="105">
        <f t="shared" ref="C28:N28" si="7">AVERAGE(C4:C27)</f>
        <v>7.4999999999999991</v>
      </c>
      <c r="D28" s="105">
        <f t="shared" si="7"/>
        <v>3.1409090909090911</v>
      </c>
      <c r="E28" s="106">
        <f t="shared" si="7"/>
        <v>0.50454545454545463</v>
      </c>
      <c r="F28" s="104">
        <f t="shared" si="7"/>
        <v>13.457272727272727</v>
      </c>
      <c r="G28" s="105">
        <f t="shared" si="7"/>
        <v>3.3390909090909102</v>
      </c>
      <c r="H28" s="105">
        <f t="shared" si="7"/>
        <v>2.5245454545454549</v>
      </c>
      <c r="I28" s="105">
        <f t="shared" si="7"/>
        <v>40.86636363636363</v>
      </c>
      <c r="J28" s="105">
        <f t="shared" si="7"/>
        <v>2.4059090909090912</v>
      </c>
      <c r="K28" s="105">
        <f t="shared" si="7"/>
        <v>0.16181818181818181</v>
      </c>
      <c r="L28" s="105">
        <f t="shared" si="7"/>
        <v>7.2272727272727308E-2</v>
      </c>
      <c r="M28" s="105">
        <f t="shared" si="7"/>
        <v>0.27863636363636374</v>
      </c>
      <c r="N28" s="106">
        <f t="shared" si="7"/>
        <v>5.0454545454545467E-2</v>
      </c>
      <c r="O28" s="104">
        <f t="shared" ref="O28" si="8">I28/(2.8*F28+1.18*G28+0.65*H28)*100</f>
        <v>94.463703667279631</v>
      </c>
      <c r="P28" s="105">
        <f t="shared" ref="P28" si="9">F28/(G28+H28)</f>
        <v>2.295038759689922</v>
      </c>
      <c r="Q28" s="107">
        <f t="shared" ref="Q28" si="10">G28/H28</f>
        <v>1.3226503420957871</v>
      </c>
      <c r="R28" s="108">
        <f t="shared" ref="R28" si="11">AVERAGE(R4:R27)</f>
        <v>11.37</v>
      </c>
      <c r="S28" s="109"/>
      <c r="T28" s="110"/>
    </row>
    <row r="29" spans="1:20" ht="24.95" customHeight="1" x14ac:dyDescent="0.25">
      <c r="A29" s="111" t="s">
        <v>46</v>
      </c>
      <c r="B29" s="112">
        <f>MIN(B4:B27)</f>
        <v>85.9</v>
      </c>
      <c r="C29" s="113">
        <f t="shared" ref="C29:R29" si="12">MIN(C4:C27)</f>
        <v>6.6</v>
      </c>
      <c r="D29" s="113">
        <f t="shared" si="12"/>
        <v>2.5</v>
      </c>
      <c r="E29" s="114">
        <f t="shared" si="12"/>
        <v>0</v>
      </c>
      <c r="F29" s="115">
        <f t="shared" si="12"/>
        <v>13.27</v>
      </c>
      <c r="G29" s="113">
        <f t="shared" si="12"/>
        <v>3.23</v>
      </c>
      <c r="H29" s="113">
        <f t="shared" si="12"/>
        <v>2.19</v>
      </c>
      <c r="I29" s="113">
        <f t="shared" si="12"/>
        <v>40.71</v>
      </c>
      <c r="J29" s="113">
        <f t="shared" si="12"/>
        <v>2.27</v>
      </c>
      <c r="K29" s="113">
        <f t="shared" si="12"/>
        <v>0.13</v>
      </c>
      <c r="L29" s="113">
        <f t="shared" si="12"/>
        <v>7.0000000000000007E-2</v>
      </c>
      <c r="M29" s="113">
        <f t="shared" si="12"/>
        <v>0.25</v>
      </c>
      <c r="N29" s="116">
        <f t="shared" si="12"/>
        <v>0.05</v>
      </c>
      <c r="O29" s="112">
        <f t="shared" si="12"/>
        <v>93.618449639849473</v>
      </c>
      <c r="P29" s="113">
        <f t="shared" si="12"/>
        <v>2.2003284072249589</v>
      </c>
      <c r="Q29" s="114">
        <f t="shared" si="12"/>
        <v>1.2103321033210332</v>
      </c>
      <c r="R29" s="115">
        <f t="shared" si="12"/>
        <v>10.99</v>
      </c>
      <c r="S29" s="117"/>
      <c r="T29" s="118"/>
    </row>
    <row r="30" spans="1:20" ht="24.95" customHeight="1" x14ac:dyDescent="0.25">
      <c r="A30" s="119" t="s">
        <v>47</v>
      </c>
      <c r="B30" s="25">
        <f>MAX(B4:B27)</f>
        <v>89.5</v>
      </c>
      <c r="C30" s="26">
        <f t="shared" ref="C30:R30" si="13">MAX(C4:C27)</f>
        <v>11</v>
      </c>
      <c r="D30" s="26">
        <f t="shared" si="13"/>
        <v>3.5</v>
      </c>
      <c r="E30" s="27">
        <f t="shared" si="13"/>
        <v>1.1000000000000001</v>
      </c>
      <c r="F30" s="120">
        <f t="shared" si="13"/>
        <v>13.54</v>
      </c>
      <c r="G30" s="26">
        <f t="shared" si="13"/>
        <v>3.48</v>
      </c>
      <c r="H30" s="26">
        <f t="shared" si="13"/>
        <v>2.73</v>
      </c>
      <c r="I30" s="26">
        <f t="shared" si="13"/>
        <v>41.13</v>
      </c>
      <c r="J30" s="26">
        <f t="shared" si="13"/>
        <v>2.46</v>
      </c>
      <c r="K30" s="26">
        <f t="shared" si="13"/>
        <v>0.21</v>
      </c>
      <c r="L30" s="26">
        <f t="shared" si="13"/>
        <v>0.08</v>
      </c>
      <c r="M30" s="26">
        <f t="shared" si="13"/>
        <v>0.28999999999999998</v>
      </c>
      <c r="N30" s="121">
        <f t="shared" si="13"/>
        <v>0.06</v>
      </c>
      <c r="O30" s="25">
        <f t="shared" si="13"/>
        <v>96.269611126986888</v>
      </c>
      <c r="P30" s="26">
        <f t="shared" si="13"/>
        <v>2.4092526690391458</v>
      </c>
      <c r="Q30" s="27">
        <f t="shared" si="13"/>
        <v>1.5662100456621006</v>
      </c>
      <c r="R30" s="120">
        <f t="shared" si="13"/>
        <v>11.74</v>
      </c>
      <c r="S30" s="122"/>
      <c r="T30" s="123"/>
    </row>
    <row r="31" spans="1:20" ht="24.95" customHeight="1" thickBot="1" x14ac:dyDescent="0.3">
      <c r="A31" s="124" t="s">
        <v>48</v>
      </c>
      <c r="B31" s="125">
        <f>STDEV(B4:B27)</f>
        <v>1.0238709334245633</v>
      </c>
      <c r="C31" s="126">
        <f t="shared" ref="C31:R31" si="14">STDEV(C4:C27)</f>
        <v>1.2478553029670028</v>
      </c>
      <c r="D31" s="126">
        <f t="shared" si="14"/>
        <v>0.41936356645015693</v>
      </c>
      <c r="E31" s="127">
        <f t="shared" si="14"/>
        <v>0.42814914260300507</v>
      </c>
      <c r="F31" s="128">
        <f t="shared" si="14"/>
        <v>6.2425713427798971E-2</v>
      </c>
      <c r="G31" s="126">
        <f t="shared" si="14"/>
        <v>6.7111072885896447E-2</v>
      </c>
      <c r="H31" s="126">
        <f t="shared" si="14"/>
        <v>0.16117802262825714</v>
      </c>
      <c r="I31" s="126">
        <f t="shared" si="14"/>
        <v>0.11125027360246575</v>
      </c>
      <c r="J31" s="126">
        <f t="shared" si="14"/>
        <v>4.1249426074978938E-2</v>
      </c>
      <c r="K31" s="126">
        <f t="shared" si="14"/>
        <v>2.0150945537631994E-2</v>
      </c>
      <c r="L31" s="126">
        <f t="shared" si="14"/>
        <v>4.2893202722888834E-3</v>
      </c>
      <c r="M31" s="126">
        <f t="shared" si="14"/>
        <v>9.9021183618429806E-3</v>
      </c>
      <c r="N31" s="129">
        <f t="shared" si="14"/>
        <v>2.1320071635561031E-3</v>
      </c>
      <c r="O31" s="125">
        <f t="shared" si="14"/>
        <v>0.5674701150218322</v>
      </c>
      <c r="P31" s="126">
        <f t="shared" si="14"/>
        <v>6.3735917376718784E-2</v>
      </c>
      <c r="Q31" s="127">
        <f t="shared" si="14"/>
        <v>0.1038388987872758</v>
      </c>
      <c r="R31" s="128">
        <f t="shared" si="14"/>
        <v>0.19682479518597262</v>
      </c>
      <c r="S31" s="130"/>
      <c r="T31" s="131"/>
    </row>
  </sheetData>
  <mergeCells count="7">
    <mergeCell ref="S1:S2"/>
    <mergeCell ref="T1:T2"/>
    <mergeCell ref="F1:N1"/>
    <mergeCell ref="O1:Q1"/>
    <mergeCell ref="A1:A2"/>
    <mergeCell ref="B1:E1"/>
    <mergeCell ref="R1:R2"/>
  </mergeCells>
  <printOptions horizontalCentered="1" verticalCentered="1"/>
  <pageMargins left="0" right="0" top="0" bottom="0" header="0.3" footer="0.3"/>
  <pageSetup paperSize="9" scale="6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V30"/>
  <sheetViews>
    <sheetView zoomScale="90" zoomScaleNormal="90" zoomScaleSheetLayoutView="70" workbookViewId="0">
      <selection sqref="A1:XFD1048576"/>
    </sheetView>
  </sheetViews>
  <sheetFormatPr defaultRowHeight="15" x14ac:dyDescent="0.25"/>
  <cols>
    <col min="1" max="1" width="9" style="70" customWidth="1"/>
    <col min="2" max="13" width="9.7109375" style="70" customWidth="1"/>
    <col min="14" max="14" width="11.5703125" style="70" customWidth="1"/>
    <col min="15" max="18" width="10.7109375" style="70" customWidth="1"/>
    <col min="19" max="19" width="1.140625" style="70" customWidth="1"/>
    <col min="20" max="20" width="11.5703125" style="70" customWidth="1"/>
    <col min="21" max="16384" width="9.140625" style="70"/>
  </cols>
  <sheetData>
    <row r="1" spans="1:22" ht="23.25" customHeight="1" x14ac:dyDescent="0.25">
      <c r="A1" s="61" t="s">
        <v>7</v>
      </c>
      <c r="B1" s="62" t="s">
        <v>17</v>
      </c>
      <c r="C1" s="63"/>
      <c r="D1" s="63"/>
      <c r="E1" s="63"/>
      <c r="F1" s="63"/>
      <c r="G1" s="63"/>
      <c r="H1" s="63"/>
      <c r="I1" s="63"/>
      <c r="J1" s="64"/>
      <c r="K1" s="62" t="s">
        <v>16</v>
      </c>
      <c r="L1" s="63"/>
      <c r="M1" s="64"/>
      <c r="N1" s="132" t="s">
        <v>28</v>
      </c>
      <c r="O1" s="67" t="s">
        <v>15</v>
      </c>
      <c r="P1" s="133"/>
      <c r="Q1" s="134" t="s">
        <v>44</v>
      </c>
      <c r="R1" s="135" t="s">
        <v>32</v>
      </c>
      <c r="T1" s="136" t="s">
        <v>57</v>
      </c>
      <c r="U1" s="136" t="s">
        <v>58</v>
      </c>
      <c r="V1" s="136" t="s">
        <v>59</v>
      </c>
    </row>
    <row r="2" spans="1:22" ht="23.25" customHeight="1" thickBot="1" x14ac:dyDescent="0.3">
      <c r="A2" s="71"/>
      <c r="B2" s="137" t="s">
        <v>29</v>
      </c>
      <c r="C2" s="138" t="s">
        <v>30</v>
      </c>
      <c r="D2" s="138" t="s">
        <v>31</v>
      </c>
      <c r="E2" s="138" t="s">
        <v>1</v>
      </c>
      <c r="F2" s="138" t="s">
        <v>2</v>
      </c>
      <c r="G2" s="138" t="s">
        <v>32</v>
      </c>
      <c r="H2" s="138" t="s">
        <v>33</v>
      </c>
      <c r="I2" s="138" t="s">
        <v>34</v>
      </c>
      <c r="J2" s="139" t="s">
        <v>3</v>
      </c>
      <c r="K2" s="137" t="s">
        <v>4</v>
      </c>
      <c r="L2" s="138" t="s">
        <v>5</v>
      </c>
      <c r="M2" s="139" t="s">
        <v>6</v>
      </c>
      <c r="N2" s="140"/>
      <c r="O2" s="141">
        <v>1</v>
      </c>
      <c r="P2" s="142">
        <v>2</v>
      </c>
      <c r="Q2" s="141" t="s">
        <v>14</v>
      </c>
      <c r="R2" s="143" t="s">
        <v>14</v>
      </c>
      <c r="T2" s="144"/>
      <c r="U2" s="144"/>
      <c r="V2" s="144"/>
    </row>
    <row r="3" spans="1:22" ht="21.95" customHeight="1" thickTop="1" x14ac:dyDescent="0.25">
      <c r="A3" s="145">
        <v>0.29166666666666669</v>
      </c>
      <c r="B3" s="146">
        <v>13.28</v>
      </c>
      <c r="C3" s="147">
        <v>3.33</v>
      </c>
      <c r="D3" s="147">
        <v>2.75</v>
      </c>
      <c r="E3" s="147">
        <v>40.799999999999997</v>
      </c>
      <c r="F3" s="147">
        <v>2.12</v>
      </c>
      <c r="G3" s="147">
        <v>0.17</v>
      </c>
      <c r="H3" s="147">
        <v>7.0000000000000007E-2</v>
      </c>
      <c r="I3" s="147">
        <v>0.28000000000000003</v>
      </c>
      <c r="J3" s="148">
        <v>0.06</v>
      </c>
      <c r="K3" s="25">
        <f t="shared" ref="K3" si="0">IF(B3="","",100*E3/(2.8*B3+1.18*C3+0.65*D3))</f>
        <v>95.1028999391621</v>
      </c>
      <c r="L3" s="26">
        <f t="shared" ref="L3" si="1">IF(B3="","",B3/(C3+D3))</f>
        <v>2.1842105263157894</v>
      </c>
      <c r="M3" s="31">
        <f t="shared" ref="M3" si="2">IF(C3="","",C3/D3)</f>
        <v>1.2109090909090909</v>
      </c>
      <c r="N3" s="149">
        <v>11.87</v>
      </c>
      <c r="O3" s="150">
        <v>0.5</v>
      </c>
      <c r="P3" s="151">
        <v>0.5</v>
      </c>
      <c r="Q3" s="146"/>
      <c r="R3" s="152"/>
      <c r="T3" s="153"/>
      <c r="U3" s="153"/>
      <c r="V3" s="153"/>
    </row>
    <row r="4" spans="1:22" ht="21.95" customHeight="1" x14ac:dyDescent="0.25">
      <c r="A4" s="154">
        <v>0.33333333333333298</v>
      </c>
      <c r="B4" s="91"/>
      <c r="C4" s="36"/>
      <c r="D4" s="36"/>
      <c r="E4" s="36"/>
      <c r="F4" s="36"/>
      <c r="G4" s="92"/>
      <c r="H4" s="92"/>
      <c r="I4" s="92"/>
      <c r="J4" s="93"/>
      <c r="K4" s="25"/>
      <c r="L4" s="26"/>
      <c r="M4" s="31"/>
      <c r="N4" s="155"/>
      <c r="O4" s="156"/>
      <c r="P4" s="157"/>
      <c r="Q4" s="91"/>
      <c r="R4" s="158"/>
      <c r="T4" s="159"/>
      <c r="U4" s="159"/>
      <c r="V4" s="159"/>
    </row>
    <row r="5" spans="1:22" ht="21.95" customHeight="1" x14ac:dyDescent="0.25">
      <c r="A5" s="154">
        <v>0.375</v>
      </c>
      <c r="B5" s="91">
        <v>13.3</v>
      </c>
      <c r="C5" s="36">
        <v>3.3</v>
      </c>
      <c r="D5" s="36">
        <v>2.74</v>
      </c>
      <c r="E5" s="36">
        <v>40.9</v>
      </c>
      <c r="F5" s="36">
        <v>2.2200000000000002</v>
      </c>
      <c r="G5" s="36">
        <v>0.17</v>
      </c>
      <c r="H5" s="36">
        <v>0.08</v>
      </c>
      <c r="I5" s="36">
        <v>0.28999999999999998</v>
      </c>
      <c r="J5" s="37">
        <v>0.06</v>
      </c>
      <c r="K5" s="25">
        <f t="shared" ref="K5:K11" si="3">IF(B5="","",100*E5/(2.8*B5+1.18*C5+0.65*D5))</f>
        <v>95.304672026098103</v>
      </c>
      <c r="L5" s="26">
        <f t="shared" ref="L5:L11" si="4">IF(B5="","",B5/(C5+D5))</f>
        <v>2.2019867549668874</v>
      </c>
      <c r="M5" s="31">
        <f t="shared" ref="M5:M11" si="5">IF(C5="","",C5/D5)</f>
        <v>1.2043795620437954</v>
      </c>
      <c r="N5" s="155">
        <v>11.63</v>
      </c>
      <c r="O5" s="156">
        <v>0.5</v>
      </c>
      <c r="P5" s="157">
        <v>0.5</v>
      </c>
      <c r="Q5" s="91">
        <v>95.28</v>
      </c>
      <c r="R5" s="160">
        <v>2</v>
      </c>
      <c r="T5" s="159">
        <v>36.39</v>
      </c>
      <c r="U5" s="159">
        <v>2.63</v>
      </c>
      <c r="V5" s="159">
        <f t="shared" ref="V5" si="6">((T5-U5)/T5)/((100-U5))*10000</f>
        <v>95.278566050807555</v>
      </c>
    </row>
    <row r="6" spans="1:22" ht="21.95" customHeight="1" x14ac:dyDescent="0.25">
      <c r="A6" s="154">
        <v>0.41666666666666702</v>
      </c>
      <c r="B6" s="91"/>
      <c r="C6" s="36"/>
      <c r="D6" s="36"/>
      <c r="E6" s="36"/>
      <c r="F6" s="36"/>
      <c r="G6" s="36"/>
      <c r="H6" s="36"/>
      <c r="I6" s="36"/>
      <c r="J6" s="37"/>
      <c r="K6" s="25"/>
      <c r="L6" s="26"/>
      <c r="M6" s="31"/>
      <c r="N6" s="155"/>
      <c r="O6" s="156"/>
      <c r="P6" s="157"/>
      <c r="Q6" s="91"/>
      <c r="R6" s="160"/>
      <c r="T6" s="159"/>
      <c r="U6" s="159"/>
      <c r="V6" s="159"/>
    </row>
    <row r="7" spans="1:22" ht="21.95" customHeight="1" x14ac:dyDescent="0.25">
      <c r="A7" s="154">
        <v>0.45833333333333298</v>
      </c>
      <c r="B7" s="91">
        <v>13.35</v>
      </c>
      <c r="C7" s="36">
        <v>3.31</v>
      </c>
      <c r="D7" s="36">
        <v>2.73</v>
      </c>
      <c r="E7" s="36">
        <v>40.909999999999997</v>
      </c>
      <c r="F7" s="36">
        <v>2.23</v>
      </c>
      <c r="G7" s="36">
        <v>0.18</v>
      </c>
      <c r="H7" s="36">
        <v>7.0000000000000007E-2</v>
      </c>
      <c r="I7" s="36">
        <v>0.28000000000000003</v>
      </c>
      <c r="J7" s="37">
        <v>0.06</v>
      </c>
      <c r="K7" s="25">
        <f t="shared" si="3"/>
        <v>95.006305111668979</v>
      </c>
      <c r="L7" s="26">
        <f t="shared" si="4"/>
        <v>2.2102649006622515</v>
      </c>
      <c r="M7" s="31">
        <f t="shared" si="5"/>
        <v>1.2124542124542126</v>
      </c>
      <c r="N7" s="155">
        <v>11.72</v>
      </c>
      <c r="O7" s="156">
        <v>0.5</v>
      </c>
      <c r="P7" s="157">
        <v>0.5</v>
      </c>
      <c r="Q7" s="91"/>
      <c r="R7" s="160"/>
      <c r="T7" s="159"/>
      <c r="U7" s="159"/>
      <c r="V7" s="159"/>
    </row>
    <row r="8" spans="1:22" ht="21.95" customHeight="1" x14ac:dyDescent="0.25">
      <c r="A8" s="154">
        <v>0.5</v>
      </c>
      <c r="B8" s="91"/>
      <c r="C8" s="36"/>
      <c r="D8" s="36"/>
      <c r="E8" s="36"/>
      <c r="F8" s="36"/>
      <c r="G8" s="36"/>
      <c r="H8" s="36"/>
      <c r="I8" s="36"/>
      <c r="J8" s="37"/>
      <c r="K8" s="25"/>
      <c r="L8" s="26"/>
      <c r="M8" s="31"/>
      <c r="N8" s="155"/>
      <c r="O8" s="156"/>
      <c r="P8" s="157"/>
      <c r="Q8" s="91"/>
      <c r="R8" s="160">
        <v>1.86</v>
      </c>
      <c r="T8" s="159"/>
      <c r="U8" s="159"/>
      <c r="V8" s="159"/>
    </row>
    <row r="9" spans="1:22" ht="21.95" customHeight="1" x14ac:dyDescent="0.25">
      <c r="A9" s="154">
        <v>0.54166666666666696</v>
      </c>
      <c r="B9" s="91">
        <v>13.33</v>
      </c>
      <c r="C9" s="36">
        <v>3.35</v>
      </c>
      <c r="D9" s="36">
        <v>2.69</v>
      </c>
      <c r="E9" s="36">
        <v>40.96</v>
      </c>
      <c r="F9" s="36">
        <v>2.21</v>
      </c>
      <c r="G9" s="36">
        <v>0.17</v>
      </c>
      <c r="H9" s="36">
        <v>7.0000000000000007E-2</v>
      </c>
      <c r="I9" s="36">
        <v>0.28999999999999998</v>
      </c>
      <c r="J9" s="37">
        <v>0.06</v>
      </c>
      <c r="K9" s="25">
        <f t="shared" si="3"/>
        <v>95.199358519947467</v>
      </c>
      <c r="L9" s="26">
        <f t="shared" si="4"/>
        <v>2.2069536423841059</v>
      </c>
      <c r="M9" s="31">
        <f t="shared" si="5"/>
        <v>1.2453531598513012</v>
      </c>
      <c r="N9" s="155">
        <v>11.66</v>
      </c>
      <c r="O9" s="156">
        <v>0.5</v>
      </c>
      <c r="P9" s="157">
        <v>0.5</v>
      </c>
      <c r="Q9" s="91"/>
      <c r="R9" s="160"/>
      <c r="T9" s="159"/>
      <c r="U9" s="159"/>
      <c r="V9" s="159"/>
    </row>
    <row r="10" spans="1:22" ht="21.95" customHeight="1" x14ac:dyDescent="0.25">
      <c r="A10" s="154">
        <v>0.58333333333333304</v>
      </c>
      <c r="B10" s="91"/>
      <c r="C10" s="36"/>
      <c r="D10" s="36"/>
      <c r="E10" s="36"/>
      <c r="F10" s="36"/>
      <c r="G10" s="36"/>
      <c r="H10" s="36"/>
      <c r="I10" s="36"/>
      <c r="J10" s="37"/>
      <c r="K10" s="25"/>
      <c r="L10" s="26"/>
      <c r="M10" s="31"/>
      <c r="N10" s="155"/>
      <c r="O10" s="156"/>
      <c r="P10" s="157"/>
      <c r="Q10" s="91"/>
      <c r="R10" s="160"/>
      <c r="T10" s="159"/>
      <c r="U10" s="159"/>
      <c r="V10" s="159"/>
    </row>
    <row r="11" spans="1:22" ht="21.95" customHeight="1" x14ac:dyDescent="0.25">
      <c r="A11" s="154">
        <v>0.625</v>
      </c>
      <c r="B11" s="91">
        <v>13.31</v>
      </c>
      <c r="C11" s="36">
        <v>3.36</v>
      </c>
      <c r="D11" s="36">
        <v>2.65</v>
      </c>
      <c r="E11" s="36">
        <v>40.97</v>
      </c>
      <c r="F11" s="36">
        <v>2.21</v>
      </c>
      <c r="G11" s="36">
        <v>0.18</v>
      </c>
      <c r="H11" s="36">
        <v>7.0000000000000007E-2</v>
      </c>
      <c r="I11" s="36">
        <v>0.28000000000000003</v>
      </c>
      <c r="J11" s="37">
        <v>0.06</v>
      </c>
      <c r="K11" s="25">
        <f t="shared" si="3"/>
        <v>95.378218752982761</v>
      </c>
      <c r="L11" s="26">
        <f t="shared" si="4"/>
        <v>2.214642262895175</v>
      </c>
      <c r="M11" s="31">
        <f t="shared" si="5"/>
        <v>1.2679245283018867</v>
      </c>
      <c r="N11" s="155">
        <v>11.98</v>
      </c>
      <c r="O11" s="156">
        <v>0.5</v>
      </c>
      <c r="P11" s="157">
        <v>0.5</v>
      </c>
      <c r="Q11" s="91"/>
      <c r="R11" s="160"/>
      <c r="T11" s="159"/>
      <c r="U11" s="159"/>
      <c r="V11" s="159"/>
    </row>
    <row r="12" spans="1:22" ht="21.95" customHeight="1" x14ac:dyDescent="0.25">
      <c r="A12" s="154">
        <v>0.66666666666666696</v>
      </c>
      <c r="B12" s="91"/>
      <c r="C12" s="36"/>
      <c r="D12" s="36"/>
      <c r="E12" s="36"/>
      <c r="F12" s="36"/>
      <c r="G12" s="36"/>
      <c r="H12" s="36"/>
      <c r="I12" s="36"/>
      <c r="J12" s="37"/>
      <c r="K12" s="25"/>
      <c r="L12" s="26"/>
      <c r="M12" s="31"/>
      <c r="N12" s="155"/>
      <c r="O12" s="156"/>
      <c r="P12" s="157"/>
      <c r="Q12" s="91"/>
      <c r="R12" s="160"/>
      <c r="T12" s="159"/>
      <c r="U12" s="159"/>
      <c r="V12" s="159"/>
    </row>
    <row r="13" spans="1:22" ht="21.95" customHeight="1" x14ac:dyDescent="0.25">
      <c r="A13" s="154">
        <v>0.70833333333333304</v>
      </c>
      <c r="B13" s="91">
        <v>13.3</v>
      </c>
      <c r="C13" s="36">
        <v>3.36</v>
      </c>
      <c r="D13" s="36">
        <v>2.58</v>
      </c>
      <c r="E13" s="36">
        <v>41.08</v>
      </c>
      <c r="F13" s="36">
        <v>2.1800000000000002</v>
      </c>
      <c r="G13" s="36">
        <v>0.18</v>
      </c>
      <c r="H13" s="36">
        <v>7.0000000000000007E-2</v>
      </c>
      <c r="I13" s="36">
        <v>0.28999999999999998</v>
      </c>
      <c r="J13" s="37">
        <v>0.06</v>
      </c>
      <c r="K13" s="25">
        <f t="shared" ref="K13:K25" si="7">IF(B13="","",100*E13/(2.8*B13+1.18*C13+0.65*D13))</f>
        <v>95.798217425574492</v>
      </c>
      <c r="L13" s="26">
        <f t="shared" ref="L13:L25" si="8">IF(B13="","",B13/(C13+D13))</f>
        <v>2.2390572390572392</v>
      </c>
      <c r="M13" s="31">
        <f t="shared" ref="M13:M25" si="9">IF(C13="","",C13/D13)</f>
        <v>1.3023255813953487</v>
      </c>
      <c r="N13" s="155">
        <v>11.22</v>
      </c>
      <c r="O13" s="156">
        <v>0.5</v>
      </c>
      <c r="P13" s="157">
        <v>0.5</v>
      </c>
      <c r="Q13" s="91">
        <v>95.12</v>
      </c>
      <c r="R13" s="160">
        <v>1.7</v>
      </c>
      <c r="T13" s="159">
        <v>36.58</v>
      </c>
      <c r="U13" s="159">
        <v>2.74</v>
      </c>
      <c r="V13" s="159">
        <f t="shared" ref="V13" si="10">((T13-U13)/T13)/((100-U13))*10000</f>
        <v>95.1157393275587</v>
      </c>
    </row>
    <row r="14" spans="1:22" ht="21.95" customHeight="1" x14ac:dyDescent="0.25">
      <c r="A14" s="154">
        <v>0.75</v>
      </c>
      <c r="B14" s="91"/>
      <c r="C14" s="36"/>
      <c r="D14" s="36"/>
      <c r="E14" s="36"/>
      <c r="F14" s="36"/>
      <c r="G14" s="36"/>
      <c r="H14" s="36"/>
      <c r="I14" s="36"/>
      <c r="J14" s="37"/>
      <c r="K14" s="25"/>
      <c r="L14" s="26"/>
      <c r="M14" s="31"/>
      <c r="N14" s="155"/>
      <c r="O14" s="156"/>
      <c r="P14" s="157"/>
      <c r="Q14" s="91"/>
      <c r="R14" s="160"/>
      <c r="T14" s="159"/>
      <c r="U14" s="159"/>
      <c r="V14" s="159"/>
    </row>
    <row r="15" spans="1:22" ht="21.95" customHeight="1" x14ac:dyDescent="0.25">
      <c r="A15" s="154">
        <v>0.79166666666666696</v>
      </c>
      <c r="B15" s="91">
        <v>13.32</v>
      </c>
      <c r="C15" s="36">
        <v>3.35</v>
      </c>
      <c r="D15" s="36">
        <v>2.65</v>
      </c>
      <c r="E15" s="36">
        <v>40.950000000000003</v>
      </c>
      <c r="F15" s="36">
        <v>2.16</v>
      </c>
      <c r="G15" s="36">
        <v>0.18</v>
      </c>
      <c r="H15" s="36">
        <v>7.0000000000000007E-2</v>
      </c>
      <c r="I15" s="36">
        <v>0.28000000000000003</v>
      </c>
      <c r="J15" s="37">
        <v>0.06</v>
      </c>
      <c r="K15" s="25">
        <f t="shared" si="7"/>
        <v>95.295719255785826</v>
      </c>
      <c r="L15" s="26">
        <f t="shared" si="8"/>
        <v>2.2200000000000002</v>
      </c>
      <c r="M15" s="31">
        <f t="shared" si="9"/>
        <v>1.2641509433962266</v>
      </c>
      <c r="N15" s="155">
        <v>10.9</v>
      </c>
      <c r="O15" s="156">
        <v>0.5</v>
      </c>
      <c r="P15" s="157">
        <v>0.5</v>
      </c>
      <c r="Q15" s="91"/>
      <c r="R15" s="160"/>
      <c r="T15" s="159"/>
      <c r="U15" s="159"/>
      <c r="V15" s="159"/>
    </row>
    <row r="16" spans="1:22" ht="21.95" customHeight="1" x14ac:dyDescent="0.25">
      <c r="A16" s="154">
        <v>0.83333333333333304</v>
      </c>
      <c r="B16" s="91"/>
      <c r="C16" s="36"/>
      <c r="D16" s="36"/>
      <c r="E16" s="36"/>
      <c r="F16" s="36"/>
      <c r="G16" s="36"/>
      <c r="H16" s="36"/>
      <c r="I16" s="36"/>
      <c r="J16" s="37"/>
      <c r="K16" s="25"/>
      <c r="L16" s="26"/>
      <c r="M16" s="31"/>
      <c r="N16" s="155"/>
      <c r="O16" s="156"/>
      <c r="P16" s="157"/>
      <c r="Q16" s="91"/>
      <c r="R16" s="160"/>
      <c r="T16" s="159"/>
      <c r="U16" s="159"/>
      <c r="V16" s="159"/>
    </row>
    <row r="17" spans="1:22" ht="21.95" customHeight="1" x14ac:dyDescent="0.25">
      <c r="A17" s="154">
        <v>0.875</v>
      </c>
      <c r="B17" s="91">
        <v>13.36</v>
      </c>
      <c r="C17" s="36">
        <v>3.34</v>
      </c>
      <c r="D17" s="36">
        <v>2.66</v>
      </c>
      <c r="E17" s="36">
        <v>40.96</v>
      </c>
      <c r="F17" s="36">
        <v>2.16</v>
      </c>
      <c r="G17" s="36">
        <v>0.18</v>
      </c>
      <c r="H17" s="36">
        <v>7.0000000000000007E-2</v>
      </c>
      <c r="I17" s="36">
        <v>0.28000000000000003</v>
      </c>
      <c r="J17" s="37">
        <v>0.06</v>
      </c>
      <c r="K17" s="25">
        <f t="shared" si="7"/>
        <v>95.082895757018647</v>
      </c>
      <c r="L17" s="26">
        <f t="shared" si="8"/>
        <v>2.2266666666666666</v>
      </c>
      <c r="M17" s="31">
        <f t="shared" si="9"/>
        <v>1.2556390977443608</v>
      </c>
      <c r="N17" s="155">
        <v>11.16</v>
      </c>
      <c r="O17" s="156">
        <v>0.5</v>
      </c>
      <c r="P17" s="157">
        <v>0.5</v>
      </c>
      <c r="Q17" s="91"/>
      <c r="R17" s="160"/>
      <c r="T17" s="159"/>
      <c r="U17" s="159"/>
      <c r="V17" s="159"/>
    </row>
    <row r="18" spans="1:22" ht="21.95" customHeight="1" x14ac:dyDescent="0.25">
      <c r="A18" s="154">
        <v>0.91666666666666696</v>
      </c>
      <c r="B18" s="91"/>
      <c r="C18" s="36"/>
      <c r="D18" s="36"/>
      <c r="E18" s="36"/>
      <c r="F18" s="36"/>
      <c r="G18" s="36"/>
      <c r="H18" s="36"/>
      <c r="I18" s="36"/>
      <c r="J18" s="37"/>
      <c r="K18" s="25"/>
      <c r="L18" s="26"/>
      <c r="M18" s="31"/>
      <c r="N18" s="155"/>
      <c r="O18" s="156"/>
      <c r="P18" s="157"/>
      <c r="Q18" s="91"/>
      <c r="R18" s="160"/>
      <c r="T18" s="159"/>
      <c r="U18" s="159"/>
      <c r="V18" s="159"/>
    </row>
    <row r="19" spans="1:22" ht="21.95" customHeight="1" x14ac:dyDescent="0.25">
      <c r="A19" s="154">
        <v>0.95833333333333304</v>
      </c>
      <c r="B19" s="91">
        <v>13.27</v>
      </c>
      <c r="C19" s="36">
        <v>3.35</v>
      </c>
      <c r="D19" s="36">
        <v>2.61</v>
      </c>
      <c r="E19" s="36">
        <v>40.93</v>
      </c>
      <c r="F19" s="36">
        <v>2.2200000000000002</v>
      </c>
      <c r="G19" s="36">
        <v>0.18</v>
      </c>
      <c r="H19" s="36">
        <v>7.0000000000000007E-2</v>
      </c>
      <c r="I19" s="36">
        <v>0.28000000000000003</v>
      </c>
      <c r="J19" s="37">
        <v>0.06</v>
      </c>
      <c r="K19" s="25">
        <f t="shared" si="7"/>
        <v>95.618553690530419</v>
      </c>
      <c r="L19" s="26">
        <f t="shared" si="8"/>
        <v>2.226510067114094</v>
      </c>
      <c r="M19" s="31">
        <f t="shared" si="9"/>
        <v>1.2835249042145596</v>
      </c>
      <c r="N19" s="155">
        <v>11.23</v>
      </c>
      <c r="O19" s="156">
        <v>0.5</v>
      </c>
      <c r="P19" s="157">
        <v>0.5</v>
      </c>
      <c r="Q19" s="91"/>
      <c r="R19" s="160"/>
      <c r="T19" s="159"/>
      <c r="U19" s="159"/>
      <c r="V19" s="159"/>
    </row>
    <row r="20" spans="1:22" ht="21.95" customHeight="1" x14ac:dyDescent="0.25">
      <c r="A20" s="154">
        <v>1</v>
      </c>
      <c r="B20" s="91"/>
      <c r="C20" s="36"/>
      <c r="D20" s="36"/>
      <c r="E20" s="36"/>
      <c r="F20" s="36"/>
      <c r="G20" s="36"/>
      <c r="H20" s="36"/>
      <c r="I20" s="36"/>
      <c r="J20" s="37"/>
      <c r="K20" s="25"/>
      <c r="L20" s="26"/>
      <c r="M20" s="31"/>
      <c r="N20" s="155"/>
      <c r="O20" s="156"/>
      <c r="P20" s="157"/>
      <c r="Q20" s="91"/>
      <c r="R20" s="160"/>
      <c r="T20" s="159"/>
      <c r="U20" s="159"/>
      <c r="V20" s="159"/>
    </row>
    <row r="21" spans="1:22" ht="21.95" customHeight="1" x14ac:dyDescent="0.25">
      <c r="A21" s="154">
        <v>1.0416666666666701</v>
      </c>
      <c r="B21" s="91">
        <v>13.28</v>
      </c>
      <c r="C21" s="36">
        <v>3.31</v>
      </c>
      <c r="D21" s="36">
        <v>2.61</v>
      </c>
      <c r="E21" s="36">
        <v>40.89</v>
      </c>
      <c r="F21" s="36">
        <v>2.23</v>
      </c>
      <c r="G21" s="36">
        <v>0.18</v>
      </c>
      <c r="H21" s="36">
        <v>7.0000000000000007E-2</v>
      </c>
      <c r="I21" s="36">
        <v>0.28000000000000003</v>
      </c>
      <c r="J21" s="37">
        <v>0.06</v>
      </c>
      <c r="K21" s="25">
        <f t="shared" si="7"/>
        <v>95.567973860791895</v>
      </c>
      <c r="L21" s="26">
        <f t="shared" si="8"/>
        <v>2.243243243243243</v>
      </c>
      <c r="M21" s="31">
        <f t="shared" si="9"/>
        <v>1.2681992337164751</v>
      </c>
      <c r="N21" s="155">
        <v>11.28</v>
      </c>
      <c r="O21" s="156">
        <v>0.5</v>
      </c>
      <c r="P21" s="157">
        <v>0.5</v>
      </c>
      <c r="Q21" s="91">
        <v>95.21</v>
      </c>
      <c r="R21" s="160">
        <v>1.83</v>
      </c>
      <c r="T21" s="159">
        <v>36.479999999999997</v>
      </c>
      <c r="U21" s="159">
        <v>2.68</v>
      </c>
      <c r="V21" s="159">
        <f t="shared" ref="V21" si="11">((T21-U21)/T21)/((100-U21))*10000</f>
        <v>95.205002848263291</v>
      </c>
    </row>
    <row r="22" spans="1:22" ht="21.95" customHeight="1" x14ac:dyDescent="0.25">
      <c r="A22" s="154">
        <v>1.0833333333333299</v>
      </c>
      <c r="B22" s="91"/>
      <c r="C22" s="36"/>
      <c r="D22" s="36"/>
      <c r="E22" s="36"/>
      <c r="F22" s="36"/>
      <c r="G22" s="36"/>
      <c r="H22" s="36"/>
      <c r="I22" s="36"/>
      <c r="J22" s="37"/>
      <c r="K22" s="25"/>
      <c r="L22" s="26"/>
      <c r="M22" s="31"/>
      <c r="N22" s="155"/>
      <c r="O22" s="156"/>
      <c r="P22" s="157"/>
      <c r="Q22" s="91"/>
      <c r="R22" s="160"/>
      <c r="T22" s="159"/>
      <c r="U22" s="159"/>
      <c r="V22" s="159"/>
    </row>
    <row r="23" spans="1:22" ht="21.95" customHeight="1" x14ac:dyDescent="0.25">
      <c r="A23" s="154">
        <v>1.125</v>
      </c>
      <c r="B23" s="91">
        <v>13.29</v>
      </c>
      <c r="C23" s="36">
        <v>3.31</v>
      </c>
      <c r="D23" s="36">
        <v>2.63</v>
      </c>
      <c r="E23" s="36">
        <v>41.02</v>
      </c>
      <c r="F23" s="36">
        <v>2.25</v>
      </c>
      <c r="G23" s="36">
        <v>0.17</v>
      </c>
      <c r="H23" s="36">
        <v>7.0000000000000007E-2</v>
      </c>
      <c r="I23" s="36">
        <v>0.28000000000000003</v>
      </c>
      <c r="J23" s="37">
        <v>0.06</v>
      </c>
      <c r="K23" s="25">
        <f t="shared" si="7"/>
        <v>95.780028159608491</v>
      </c>
      <c r="L23" s="26">
        <f t="shared" si="8"/>
        <v>2.2373737373737375</v>
      </c>
      <c r="M23" s="31">
        <f t="shared" si="9"/>
        <v>1.2585551330798479</v>
      </c>
      <c r="N23" s="155">
        <v>11.35</v>
      </c>
      <c r="O23" s="156">
        <v>0.5</v>
      </c>
      <c r="P23" s="157">
        <v>0.5</v>
      </c>
      <c r="Q23" s="91"/>
      <c r="R23" s="160"/>
      <c r="T23" s="159"/>
      <c r="U23" s="159"/>
      <c r="V23" s="159"/>
    </row>
    <row r="24" spans="1:22" ht="21.95" customHeight="1" x14ac:dyDescent="0.25">
      <c r="A24" s="154">
        <v>1.1666666666666701</v>
      </c>
      <c r="B24" s="91"/>
      <c r="C24" s="36"/>
      <c r="D24" s="36"/>
      <c r="E24" s="36"/>
      <c r="F24" s="36"/>
      <c r="G24" s="36"/>
      <c r="H24" s="36"/>
      <c r="I24" s="36"/>
      <c r="J24" s="37"/>
      <c r="K24" s="25"/>
      <c r="L24" s="26"/>
      <c r="M24" s="31"/>
      <c r="N24" s="155"/>
      <c r="O24" s="156"/>
      <c r="P24" s="157"/>
      <c r="Q24" s="91"/>
      <c r="R24" s="160"/>
      <c r="T24" s="159"/>
      <c r="U24" s="159"/>
      <c r="V24" s="159"/>
    </row>
    <row r="25" spans="1:22" ht="21.95" customHeight="1" x14ac:dyDescent="0.25">
      <c r="A25" s="154">
        <v>1.2083333333333299</v>
      </c>
      <c r="B25" s="91">
        <v>13.28</v>
      </c>
      <c r="C25" s="36">
        <v>3.3</v>
      </c>
      <c r="D25" s="36">
        <v>2.62</v>
      </c>
      <c r="E25" s="36">
        <v>41.02</v>
      </c>
      <c r="F25" s="36">
        <v>2.2400000000000002</v>
      </c>
      <c r="G25" s="36">
        <v>0.17</v>
      </c>
      <c r="H25" s="36">
        <v>0.08</v>
      </c>
      <c r="I25" s="36">
        <v>0.28999999999999998</v>
      </c>
      <c r="J25" s="37">
        <v>0.06</v>
      </c>
      <c r="K25" s="25">
        <f t="shared" si="7"/>
        <v>95.883686683340741</v>
      </c>
      <c r="L25" s="26">
        <f t="shared" si="8"/>
        <v>2.243243243243243</v>
      </c>
      <c r="M25" s="31">
        <f t="shared" si="9"/>
        <v>1.2595419847328244</v>
      </c>
      <c r="N25" s="155">
        <v>11.28</v>
      </c>
      <c r="O25" s="156">
        <v>0.5</v>
      </c>
      <c r="P25" s="157">
        <v>0.5</v>
      </c>
      <c r="Q25" s="91"/>
      <c r="R25" s="160"/>
      <c r="T25" s="159"/>
      <c r="U25" s="159"/>
      <c r="V25" s="159"/>
    </row>
    <row r="26" spans="1:22" ht="21.95" customHeight="1" thickBot="1" x14ac:dyDescent="0.3">
      <c r="A26" s="161">
        <v>1.25</v>
      </c>
      <c r="B26" s="101"/>
      <c r="C26" s="162"/>
      <c r="D26" s="162"/>
      <c r="E26" s="162"/>
      <c r="F26" s="162"/>
      <c r="G26" s="162"/>
      <c r="H26" s="162"/>
      <c r="I26" s="162"/>
      <c r="J26" s="163"/>
      <c r="K26" s="28"/>
      <c r="L26" s="29"/>
      <c r="M26" s="32"/>
      <c r="N26" s="164"/>
      <c r="O26" s="165"/>
      <c r="P26" s="166"/>
      <c r="Q26" s="101"/>
      <c r="R26" s="167"/>
      <c r="T26" s="168"/>
      <c r="U26" s="168"/>
      <c r="V26" s="168"/>
    </row>
    <row r="27" spans="1:22" s="179" customFormat="1" ht="21.95" customHeight="1" thickTop="1" thickBot="1" x14ac:dyDescent="0.3">
      <c r="A27" s="169" t="s">
        <v>10</v>
      </c>
      <c r="B27" s="170">
        <f>AVERAGE(B3:B26)</f>
        <v>13.305833333333332</v>
      </c>
      <c r="C27" s="171">
        <f t="shared" ref="C27:J27" si="12">AVERAGE(C3:C26)</f>
        <v>3.3308333333333331</v>
      </c>
      <c r="D27" s="171">
        <f t="shared" si="12"/>
        <v>2.6599999999999997</v>
      </c>
      <c r="E27" s="171">
        <f t="shared" si="12"/>
        <v>40.949166666666663</v>
      </c>
      <c r="F27" s="171">
        <f t="shared" si="12"/>
        <v>2.2025000000000001</v>
      </c>
      <c r="G27" s="171">
        <f t="shared" si="12"/>
        <v>0.17583333333333331</v>
      </c>
      <c r="H27" s="171">
        <f t="shared" si="12"/>
        <v>7.1666666666666684E-2</v>
      </c>
      <c r="I27" s="171">
        <f t="shared" si="12"/>
        <v>0.28333333333333344</v>
      </c>
      <c r="J27" s="172">
        <f t="shared" si="12"/>
        <v>6.0000000000000019E-2</v>
      </c>
      <c r="K27" s="173">
        <f>E27/(2.8*B27+1.18*C27+0.65*D27)*100</f>
        <v>95.417646138186356</v>
      </c>
      <c r="L27" s="171">
        <f>B27/(C27+D27)</f>
        <v>2.2210321324245377</v>
      </c>
      <c r="M27" s="174">
        <f>C27/D27</f>
        <v>1.2521929824561404</v>
      </c>
      <c r="N27" s="175">
        <f t="shared" ref="N27" si="13">AVERAGE(N3:N26)</f>
        <v>11.44</v>
      </c>
      <c r="O27" s="176"/>
      <c r="P27" s="177"/>
      <c r="Q27" s="173">
        <f t="shared" ref="Q27:R27" si="14">AVERAGE(Q3:Q26)</f>
        <v>95.203333333333333</v>
      </c>
      <c r="R27" s="178">
        <f t="shared" si="14"/>
        <v>1.8475000000000001</v>
      </c>
      <c r="T27" s="180">
        <f t="shared" ref="T27:V27" si="15">AVERAGE(T3:T26)</f>
        <v>36.483333333333327</v>
      </c>
      <c r="U27" s="180">
        <f t="shared" si="15"/>
        <v>2.6833333333333336</v>
      </c>
      <c r="V27" s="180">
        <f t="shared" si="15"/>
        <v>95.19976940887652</v>
      </c>
    </row>
    <row r="28" spans="1:22" ht="21.95" customHeight="1" x14ac:dyDescent="0.25">
      <c r="A28" s="111" t="s">
        <v>46</v>
      </c>
      <c r="B28" s="112">
        <f>MIN(B3:B26)</f>
        <v>13.27</v>
      </c>
      <c r="C28" s="113">
        <f t="shared" ref="C28:R28" si="16">MIN(C3:C26)</f>
        <v>3.3</v>
      </c>
      <c r="D28" s="113">
        <f t="shared" si="16"/>
        <v>2.58</v>
      </c>
      <c r="E28" s="113">
        <f t="shared" si="16"/>
        <v>40.799999999999997</v>
      </c>
      <c r="F28" s="113">
        <f t="shared" si="16"/>
        <v>2.12</v>
      </c>
      <c r="G28" s="113">
        <f t="shared" si="16"/>
        <v>0.17</v>
      </c>
      <c r="H28" s="113">
        <f t="shared" si="16"/>
        <v>7.0000000000000007E-2</v>
      </c>
      <c r="I28" s="113">
        <f t="shared" si="16"/>
        <v>0.28000000000000003</v>
      </c>
      <c r="J28" s="114">
        <f t="shared" si="16"/>
        <v>0.06</v>
      </c>
      <c r="K28" s="112">
        <f t="shared" si="16"/>
        <v>95.006305111668979</v>
      </c>
      <c r="L28" s="113">
        <f t="shared" si="16"/>
        <v>2.1842105263157894</v>
      </c>
      <c r="M28" s="114">
        <f t="shared" si="16"/>
        <v>1.2043795620437954</v>
      </c>
      <c r="N28" s="181">
        <f t="shared" si="16"/>
        <v>10.9</v>
      </c>
      <c r="O28" s="182"/>
      <c r="P28" s="183"/>
      <c r="Q28" s="182">
        <f t="shared" si="16"/>
        <v>95.12</v>
      </c>
      <c r="R28" s="184">
        <f t="shared" si="16"/>
        <v>1.7</v>
      </c>
      <c r="T28" s="185">
        <f t="shared" ref="T28:V28" si="17">MIN(T3:T26)</f>
        <v>36.39</v>
      </c>
      <c r="U28" s="185">
        <f t="shared" si="17"/>
        <v>2.63</v>
      </c>
      <c r="V28" s="185">
        <f t="shared" si="17"/>
        <v>95.1157393275587</v>
      </c>
    </row>
    <row r="29" spans="1:22" ht="21.95" customHeight="1" x14ac:dyDescent="0.25">
      <c r="A29" s="119" t="s">
        <v>47</v>
      </c>
      <c r="B29" s="25">
        <f>MAX(B3:B26)</f>
        <v>13.36</v>
      </c>
      <c r="C29" s="26">
        <f t="shared" ref="C29:R29" si="18">MAX(C3:C26)</f>
        <v>3.36</v>
      </c>
      <c r="D29" s="26">
        <f t="shared" si="18"/>
        <v>2.75</v>
      </c>
      <c r="E29" s="26">
        <f t="shared" si="18"/>
        <v>41.08</v>
      </c>
      <c r="F29" s="26">
        <f t="shared" si="18"/>
        <v>2.25</v>
      </c>
      <c r="G29" s="26">
        <f t="shared" si="18"/>
        <v>0.18</v>
      </c>
      <c r="H29" s="26">
        <f t="shared" si="18"/>
        <v>0.08</v>
      </c>
      <c r="I29" s="26">
        <f t="shared" si="18"/>
        <v>0.28999999999999998</v>
      </c>
      <c r="J29" s="27">
        <f t="shared" si="18"/>
        <v>0.06</v>
      </c>
      <c r="K29" s="25">
        <f t="shared" si="18"/>
        <v>95.883686683340741</v>
      </c>
      <c r="L29" s="26">
        <f t="shared" si="18"/>
        <v>2.243243243243243</v>
      </c>
      <c r="M29" s="27">
        <f t="shared" si="18"/>
        <v>1.3023255813953487</v>
      </c>
      <c r="N29" s="186">
        <f t="shared" si="18"/>
        <v>11.98</v>
      </c>
      <c r="O29" s="187"/>
      <c r="P29" s="188"/>
      <c r="Q29" s="187">
        <f t="shared" si="18"/>
        <v>95.28</v>
      </c>
      <c r="R29" s="189">
        <f t="shared" si="18"/>
        <v>2</v>
      </c>
      <c r="T29" s="190">
        <f t="shared" ref="T29:V29" si="19">MAX(T3:T26)</f>
        <v>36.58</v>
      </c>
      <c r="U29" s="190">
        <f t="shared" si="19"/>
        <v>2.74</v>
      </c>
      <c r="V29" s="190">
        <f t="shared" si="19"/>
        <v>95.278566050807555</v>
      </c>
    </row>
    <row r="30" spans="1:22" ht="21.95" customHeight="1" thickBot="1" x14ac:dyDescent="0.3">
      <c r="A30" s="124" t="s">
        <v>48</v>
      </c>
      <c r="B30" s="125">
        <f>STDEV(B3:B26)</f>
        <v>2.9063670960444338E-2</v>
      </c>
      <c r="C30" s="126">
        <f t="shared" ref="C30:R30" si="20">STDEV(C3:C26)</f>
        <v>2.3532698077098589E-2</v>
      </c>
      <c r="D30" s="126">
        <f t="shared" si="20"/>
        <v>5.5922023633562579E-2</v>
      </c>
      <c r="E30" s="126">
        <f t="shared" si="20"/>
        <v>7.254570137422986E-2</v>
      </c>
      <c r="F30" s="126">
        <f t="shared" si="20"/>
        <v>3.9109403658780746E-2</v>
      </c>
      <c r="G30" s="126">
        <f t="shared" si="20"/>
        <v>5.1492865054443629E-3</v>
      </c>
      <c r="H30" s="126">
        <f t="shared" si="20"/>
        <v>3.8924947208076135E-3</v>
      </c>
      <c r="I30" s="126">
        <f t="shared" si="20"/>
        <v>4.923659639173285E-3</v>
      </c>
      <c r="J30" s="127">
        <f t="shared" si="20"/>
        <v>2.1742314942914129E-17</v>
      </c>
      <c r="K30" s="125">
        <f t="shared" si="20"/>
        <v>0.30353451388501834</v>
      </c>
      <c r="L30" s="126">
        <f t="shared" si="20"/>
        <v>1.8376628000259951E-2</v>
      </c>
      <c r="M30" s="127">
        <f t="shared" si="20"/>
        <v>2.9940488978888933E-2</v>
      </c>
      <c r="N30" s="191">
        <f t="shared" si="20"/>
        <v>0.32490558069020048</v>
      </c>
      <c r="O30" s="192"/>
      <c r="P30" s="193"/>
      <c r="Q30" s="192">
        <f t="shared" si="20"/>
        <v>8.0208062770104352E-2</v>
      </c>
      <c r="R30" s="194">
        <f t="shared" si="20"/>
        <v>0.12311918344975058</v>
      </c>
      <c r="T30" s="195">
        <f t="shared" ref="T30:V30" si="21">STDEV(T3:T26)</f>
        <v>9.5043849529220598E-2</v>
      </c>
      <c r="U30" s="195">
        <f t="shared" si="21"/>
        <v>5.5075705472861183E-2</v>
      </c>
      <c r="V30" s="195">
        <f t="shared" si="21"/>
        <v>8.1539420631073459E-2</v>
      </c>
    </row>
  </sheetData>
  <mergeCells count="8">
    <mergeCell ref="B1:J1"/>
    <mergeCell ref="K1:M1"/>
    <mergeCell ref="O1:P1"/>
    <mergeCell ref="N1:N2"/>
    <mergeCell ref="U1:U2"/>
    <mergeCell ref="V1:V2"/>
    <mergeCell ref="T1:T2"/>
    <mergeCell ref="A1:A2"/>
  </mergeCells>
  <printOptions horizontalCentered="1"/>
  <pageMargins left="0" right="0" top="0" bottom="0" header="0.3" footer="0.3"/>
  <pageSetup paperSize="9" scale="7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X31"/>
  <sheetViews>
    <sheetView topLeftCell="B1" zoomScale="80" zoomScaleNormal="80" workbookViewId="0">
      <selection activeCell="Z1" sqref="Z1:Z1048576"/>
    </sheetView>
  </sheetViews>
  <sheetFormatPr defaultRowHeight="15" x14ac:dyDescent="0.25"/>
  <cols>
    <col min="1" max="1" width="9.5703125" style="70" customWidth="1"/>
    <col min="2" max="2" width="10.140625" style="70" customWidth="1"/>
    <col min="3" max="12" width="9.28515625" style="70" customWidth="1"/>
    <col min="13" max="13" width="9.28515625" style="70" hidden="1" customWidth="1"/>
    <col min="14" max="14" width="9.140625" style="70" hidden="1" customWidth="1"/>
    <col min="15" max="17" width="9.140625" style="70" customWidth="1"/>
    <col min="18" max="22" width="9.5703125" style="70" customWidth="1"/>
    <col min="23" max="23" width="9.42578125" style="70" customWidth="1"/>
    <col min="24" max="24" width="25.28515625" style="70" customWidth="1"/>
    <col min="25" max="25" width="0.85546875" style="70" customWidth="1"/>
    <col min="26" max="16384" width="9.140625" style="70"/>
  </cols>
  <sheetData>
    <row r="1" spans="1:24" ht="29.25" customHeight="1" x14ac:dyDescent="0.25">
      <c r="A1" s="196" t="s">
        <v>7</v>
      </c>
      <c r="B1" s="63" t="s">
        <v>22</v>
      </c>
      <c r="C1" s="66" t="s">
        <v>21</v>
      </c>
      <c r="D1" s="62" t="s">
        <v>17</v>
      </c>
      <c r="E1" s="63"/>
      <c r="F1" s="63"/>
      <c r="G1" s="63"/>
      <c r="H1" s="63"/>
      <c r="I1" s="63"/>
      <c r="J1" s="63"/>
      <c r="K1" s="63"/>
      <c r="L1" s="64"/>
      <c r="M1" s="197" t="s">
        <v>67</v>
      </c>
      <c r="N1" s="198" t="s">
        <v>27</v>
      </c>
      <c r="O1" s="62" t="s">
        <v>16</v>
      </c>
      <c r="P1" s="63"/>
      <c r="Q1" s="64"/>
      <c r="R1" s="62" t="s">
        <v>18</v>
      </c>
      <c r="S1" s="63"/>
      <c r="T1" s="63"/>
      <c r="U1" s="64"/>
      <c r="V1" s="199"/>
      <c r="W1" s="62" t="s">
        <v>23</v>
      </c>
      <c r="X1" s="200" t="s">
        <v>8</v>
      </c>
    </row>
    <row r="2" spans="1:24" ht="29.25" customHeight="1" thickBot="1" x14ac:dyDescent="0.3">
      <c r="A2" s="201"/>
      <c r="B2" s="202"/>
      <c r="C2" s="203"/>
      <c r="D2" s="72" t="s">
        <v>29</v>
      </c>
      <c r="E2" s="73" t="s">
        <v>30</v>
      </c>
      <c r="F2" s="73" t="s">
        <v>31</v>
      </c>
      <c r="G2" s="73" t="s">
        <v>1</v>
      </c>
      <c r="H2" s="73" t="s">
        <v>2</v>
      </c>
      <c r="I2" s="73" t="s">
        <v>32</v>
      </c>
      <c r="J2" s="73" t="s">
        <v>33</v>
      </c>
      <c r="K2" s="73" t="s">
        <v>34</v>
      </c>
      <c r="L2" s="74" t="s">
        <v>3</v>
      </c>
      <c r="M2" s="204"/>
      <c r="N2" s="205"/>
      <c r="O2" s="206" t="s">
        <v>4</v>
      </c>
      <c r="P2" s="207" t="s">
        <v>5</v>
      </c>
      <c r="Q2" s="208" t="s">
        <v>6</v>
      </c>
      <c r="R2" s="72" t="s">
        <v>35</v>
      </c>
      <c r="S2" s="73" t="s">
        <v>36</v>
      </c>
      <c r="T2" s="73" t="s">
        <v>37</v>
      </c>
      <c r="U2" s="74" t="s">
        <v>38</v>
      </c>
      <c r="V2" s="74" t="s">
        <v>68</v>
      </c>
      <c r="W2" s="209"/>
      <c r="X2" s="210"/>
    </row>
    <row r="3" spans="1:24" ht="48" customHeight="1" thickBot="1" x14ac:dyDescent="0.3">
      <c r="A3" s="78" t="s">
        <v>60</v>
      </c>
      <c r="B3" s="211" t="s">
        <v>69</v>
      </c>
      <c r="C3" s="212" t="s">
        <v>72</v>
      </c>
      <c r="D3" s="79"/>
      <c r="E3" s="80"/>
      <c r="F3" s="80"/>
      <c r="G3" s="80"/>
      <c r="H3" s="82" t="s">
        <v>71</v>
      </c>
      <c r="I3" s="80"/>
      <c r="J3" s="80"/>
      <c r="K3" s="80"/>
      <c r="L3" s="81"/>
      <c r="M3" s="81"/>
      <c r="N3" s="213"/>
      <c r="O3" s="83" t="s">
        <v>77</v>
      </c>
      <c r="P3" s="82" t="s">
        <v>75</v>
      </c>
      <c r="Q3" s="84" t="s">
        <v>78</v>
      </c>
      <c r="R3" s="83" t="s">
        <v>73</v>
      </c>
      <c r="S3" s="80"/>
      <c r="T3" s="82" t="s">
        <v>79</v>
      </c>
      <c r="U3" s="81"/>
      <c r="V3" s="81"/>
      <c r="W3" s="214"/>
      <c r="X3" s="215"/>
    </row>
    <row r="4" spans="1:24" ht="26.1" customHeight="1" thickTop="1" x14ac:dyDescent="0.25">
      <c r="A4" s="216">
        <v>0.29166666666666669</v>
      </c>
      <c r="B4" s="217">
        <v>1360</v>
      </c>
      <c r="C4" s="218"/>
      <c r="D4" s="87"/>
      <c r="E4" s="41"/>
      <c r="F4" s="41"/>
      <c r="G4" s="41"/>
      <c r="H4" s="41"/>
      <c r="I4" s="41"/>
      <c r="J4" s="219"/>
      <c r="K4" s="41"/>
      <c r="L4" s="42"/>
      <c r="M4" s="42"/>
      <c r="N4" s="45"/>
      <c r="O4" s="40"/>
      <c r="P4" s="43"/>
      <c r="Q4" s="46"/>
      <c r="R4" s="40"/>
      <c r="S4" s="43"/>
      <c r="T4" s="43"/>
      <c r="U4" s="46"/>
      <c r="V4" s="46"/>
      <c r="W4" s="220">
        <v>2</v>
      </c>
      <c r="X4" s="221"/>
    </row>
    <row r="5" spans="1:24" ht="26.1" customHeight="1" x14ac:dyDescent="0.25">
      <c r="A5" s="154">
        <v>0.33333333333333298</v>
      </c>
      <c r="B5" s="96">
        <v>1342</v>
      </c>
      <c r="C5" s="222">
        <v>1.6</v>
      </c>
      <c r="D5" s="91">
        <v>21.44</v>
      </c>
      <c r="E5" s="36">
        <v>5.24</v>
      </c>
      <c r="F5" s="36">
        <v>3.96</v>
      </c>
      <c r="G5" s="36">
        <v>64.19</v>
      </c>
      <c r="H5" s="36">
        <v>3.4</v>
      </c>
      <c r="I5" s="36">
        <v>0.82</v>
      </c>
      <c r="J5" s="36">
        <v>0.14000000000000001</v>
      </c>
      <c r="K5" s="36">
        <v>0.36</v>
      </c>
      <c r="L5" s="37">
        <v>0.02</v>
      </c>
      <c r="M5" s="223">
        <f>IF(K5=0,"",(0.658*K5+J5))</f>
        <v>0.37687999999999999</v>
      </c>
      <c r="N5" s="24">
        <f t="shared" ref="N5:N7" si="0">IF(D5="","",SUM(D5:L5))</f>
        <v>99.57</v>
      </c>
      <c r="O5" s="25">
        <f>IF(D5="","",100*(G5-0.7*I5)/(2.8*D5+1.18*E5+0.65*F5))</f>
        <v>92.479633430829267</v>
      </c>
      <c r="P5" s="26">
        <f>IF(D5="","",D5/(E5+F5))</f>
        <v>2.330434782608696</v>
      </c>
      <c r="Q5" s="27">
        <f>IF(E5="","",E5/F5)</f>
        <v>1.3232323232323233</v>
      </c>
      <c r="R5" s="25">
        <f>IF(D5="","",4.071*G5-7.6*D5-6.718*E5-1.432*F5-2.852*I5)</f>
        <v>55.161809999999974</v>
      </c>
      <c r="S5" s="26">
        <f>IF(D5="","",2.87*D5-0.7544*R5)</f>
        <v>19.918730536000034</v>
      </c>
      <c r="T5" s="26">
        <f>IF(E5="","",2.65*E5-1.692*F5)</f>
        <v>7.1856799999999996</v>
      </c>
      <c r="U5" s="27">
        <f>IF(F5="","",3.043*F5)</f>
        <v>12.050280000000001</v>
      </c>
      <c r="V5" s="224">
        <f>IF(T5="","",(1.13*T5)+(1.35*U5)+H5+M5)</f>
        <v>28.164576400000001</v>
      </c>
      <c r="W5" s="225">
        <v>2</v>
      </c>
      <c r="X5" s="226"/>
    </row>
    <row r="6" spans="1:24" ht="26.1" customHeight="1" x14ac:dyDescent="0.25">
      <c r="A6" s="154">
        <v>0.375</v>
      </c>
      <c r="B6" s="96">
        <v>1366</v>
      </c>
      <c r="C6" s="222"/>
      <c r="D6" s="91"/>
      <c r="E6" s="36"/>
      <c r="F6" s="36"/>
      <c r="G6" s="36"/>
      <c r="H6" s="36"/>
      <c r="I6" s="36"/>
      <c r="J6" s="36"/>
      <c r="K6" s="36"/>
      <c r="L6" s="37"/>
      <c r="M6" s="37"/>
      <c r="N6" s="24" t="str">
        <f t="shared" si="0"/>
        <v/>
      </c>
      <c r="O6" s="25"/>
      <c r="P6" s="26"/>
      <c r="Q6" s="27"/>
      <c r="R6" s="25"/>
      <c r="S6" s="26"/>
      <c r="T6" s="26"/>
      <c r="U6" s="27"/>
      <c r="V6" s="224" t="str">
        <f t="shared" ref="V6:V27" si="1">IF(T6="","",(1.13*T6)+(1.35*U6)+H6+M6)</f>
        <v/>
      </c>
      <c r="W6" s="225">
        <v>1</v>
      </c>
      <c r="X6" s="226"/>
    </row>
    <row r="7" spans="1:24" ht="26.1" customHeight="1" x14ac:dyDescent="0.25">
      <c r="A7" s="154">
        <v>0.41666666666666702</v>
      </c>
      <c r="B7" s="96">
        <v>1382</v>
      </c>
      <c r="C7" s="222">
        <v>1.68</v>
      </c>
      <c r="D7" s="91">
        <v>21.35</v>
      </c>
      <c r="E7" s="36">
        <v>5.24</v>
      </c>
      <c r="F7" s="36">
        <v>3.93</v>
      </c>
      <c r="G7" s="36">
        <v>64.13</v>
      </c>
      <c r="H7" s="36">
        <v>3.45</v>
      </c>
      <c r="I7" s="36">
        <v>1.06</v>
      </c>
      <c r="J7" s="36">
        <v>0.14000000000000001</v>
      </c>
      <c r="K7" s="36">
        <v>0.37</v>
      </c>
      <c r="L7" s="37">
        <v>0.03</v>
      </c>
      <c r="M7" s="223">
        <f>IF(K7=0,"",(0.658*K7+J7))</f>
        <v>0.38346000000000002</v>
      </c>
      <c r="N7" s="24">
        <f t="shared" si="0"/>
        <v>99.700000000000017</v>
      </c>
      <c r="O7" s="25">
        <f>IF(D7="","",100*(G7-0.7*I7)/(2.8*D7+1.18*E7+0.65*F7))</f>
        <v>92.513321375352646</v>
      </c>
      <c r="P7" s="26">
        <f>IF(D7="","",D7/(E7+F7))</f>
        <v>2.3282442748091605</v>
      </c>
      <c r="Q7" s="27">
        <f>IF(E7="","",E7/F7)</f>
        <v>1.3333333333333333</v>
      </c>
      <c r="R7" s="25">
        <f>IF(D7="","",4.071*G7-7.6*D7-6.718*E7-1.432*F7-2.852*I7)</f>
        <v>54.960029999999975</v>
      </c>
      <c r="S7" s="26">
        <f>IF(D7="","",2.87*D7-0.7544*R7)</f>
        <v>19.812653368000028</v>
      </c>
      <c r="T7" s="26">
        <f>IF(E7="","",2.65*E7-1.692*F7)</f>
        <v>7.2364399999999991</v>
      </c>
      <c r="U7" s="27">
        <f>IF(F7="","",3.043*F7)</f>
        <v>11.958990000000002</v>
      </c>
      <c r="V7" s="224">
        <f t="shared" si="1"/>
        <v>28.155273699999999</v>
      </c>
      <c r="W7" s="225">
        <v>1</v>
      </c>
      <c r="X7" s="226"/>
    </row>
    <row r="8" spans="1:24" ht="26.1" customHeight="1" x14ac:dyDescent="0.25">
      <c r="A8" s="154">
        <v>0.45833333333333298</v>
      </c>
      <c r="B8" s="96">
        <v>1364</v>
      </c>
      <c r="C8" s="222"/>
      <c r="D8" s="91"/>
      <c r="E8" s="36"/>
      <c r="F8" s="36"/>
      <c r="G8" s="36"/>
      <c r="H8" s="36"/>
      <c r="I8" s="36"/>
      <c r="J8" s="36"/>
      <c r="K8" s="36"/>
      <c r="L8" s="37"/>
      <c r="M8" s="37"/>
      <c r="N8" s="24"/>
      <c r="O8" s="25"/>
      <c r="P8" s="26"/>
      <c r="Q8" s="27"/>
      <c r="R8" s="25"/>
      <c r="S8" s="26"/>
      <c r="T8" s="26"/>
      <c r="U8" s="27"/>
      <c r="V8" s="224" t="str">
        <f t="shared" si="1"/>
        <v/>
      </c>
      <c r="W8" s="225"/>
      <c r="X8" s="226"/>
    </row>
    <row r="9" spans="1:24" ht="26.1" customHeight="1" x14ac:dyDescent="0.25">
      <c r="A9" s="154">
        <v>0.5</v>
      </c>
      <c r="B9" s="96">
        <v>1352</v>
      </c>
      <c r="C9" s="222">
        <v>1.6</v>
      </c>
      <c r="D9" s="91">
        <v>21.46</v>
      </c>
      <c r="E9" s="36">
        <v>5.23</v>
      </c>
      <c r="F9" s="36">
        <v>3.99</v>
      </c>
      <c r="G9" s="36">
        <v>64.260000000000005</v>
      </c>
      <c r="H9" s="36">
        <v>3.51</v>
      </c>
      <c r="I9" s="36">
        <v>0.71</v>
      </c>
      <c r="J9" s="36">
        <v>0.14000000000000001</v>
      </c>
      <c r="K9" s="36">
        <v>0.35</v>
      </c>
      <c r="L9" s="37">
        <v>0.02</v>
      </c>
      <c r="M9" s="223">
        <f>IF(K9=0,"",(0.658*K9+J9))</f>
        <v>0.37030000000000002</v>
      </c>
      <c r="N9" s="24">
        <f t="shared" ref="N9:N27" si="2">IF(D9="","",SUM(D9:L9))</f>
        <v>99.669999999999987</v>
      </c>
      <c r="O9" s="25">
        <f>IF(D9="","",100*(G9-0.7*I9)/(2.8*D9+1.18*E9+0.65*F9))</f>
        <v>92.607573537207585</v>
      </c>
      <c r="P9" s="26">
        <f>IF(D9="","",D9/(E9+F9))</f>
        <v>2.3275488069414316</v>
      </c>
      <c r="Q9" s="27">
        <f>IF(E9="","",E9/F9)</f>
        <v>1.3107769423558897</v>
      </c>
      <c r="R9" s="25">
        <f>IF(D9="","",4.071*G9-7.6*D9-6.718*E9-1.432*F9-2.852*I9)</f>
        <v>55.632719999999999</v>
      </c>
      <c r="S9" s="26">
        <f>IF(D9="","",2.87*D9-0.7544*R9)</f>
        <v>19.620876032000005</v>
      </c>
      <c r="T9" s="26">
        <f>IF(E9="","",2.65*E9-1.692*F9)</f>
        <v>7.1084200000000006</v>
      </c>
      <c r="U9" s="27">
        <f>IF(F9="","",3.043*F9)</f>
        <v>12.141570000000002</v>
      </c>
      <c r="V9" s="224">
        <f t="shared" si="1"/>
        <v>28.303934099999999</v>
      </c>
      <c r="W9" s="225">
        <v>1</v>
      </c>
      <c r="X9" s="226"/>
    </row>
    <row r="10" spans="1:24" ht="26.1" customHeight="1" x14ac:dyDescent="0.25">
      <c r="A10" s="154">
        <v>0.54166666666666696</v>
      </c>
      <c r="B10" s="96">
        <v>1366</v>
      </c>
      <c r="C10" s="222"/>
      <c r="D10" s="91"/>
      <c r="E10" s="36"/>
      <c r="F10" s="36"/>
      <c r="G10" s="36"/>
      <c r="H10" s="36"/>
      <c r="I10" s="36"/>
      <c r="J10" s="36"/>
      <c r="K10" s="36"/>
      <c r="L10" s="37"/>
      <c r="M10" s="37"/>
      <c r="N10" s="24" t="str">
        <f t="shared" si="2"/>
        <v/>
      </c>
      <c r="O10" s="25"/>
      <c r="P10" s="26"/>
      <c r="Q10" s="27"/>
      <c r="R10" s="25"/>
      <c r="S10" s="26"/>
      <c r="T10" s="26"/>
      <c r="U10" s="27"/>
      <c r="V10" s="224" t="str">
        <f t="shared" si="1"/>
        <v/>
      </c>
      <c r="W10" s="225"/>
      <c r="X10" s="226"/>
    </row>
    <row r="11" spans="1:24" ht="26.1" customHeight="1" x14ac:dyDescent="0.25">
      <c r="A11" s="154">
        <v>0.58333333333333304</v>
      </c>
      <c r="B11" s="96">
        <v>1376</v>
      </c>
      <c r="C11" s="222">
        <v>1.68</v>
      </c>
      <c r="D11" s="91">
        <v>21.42</v>
      </c>
      <c r="E11" s="36">
        <v>5.23</v>
      </c>
      <c r="F11" s="36">
        <v>3.99</v>
      </c>
      <c r="G11" s="36">
        <v>64.099999999999994</v>
      </c>
      <c r="H11" s="36">
        <v>3.47</v>
      </c>
      <c r="I11" s="36">
        <v>0.93</v>
      </c>
      <c r="J11" s="36">
        <v>0.14000000000000001</v>
      </c>
      <c r="K11" s="36">
        <v>0.39</v>
      </c>
      <c r="L11" s="37">
        <v>0.03</v>
      </c>
      <c r="M11" s="223">
        <f>IF(K11=0,"",(0.658*K11+J11))</f>
        <v>0.39662000000000003</v>
      </c>
      <c r="N11" s="24">
        <f t="shared" si="2"/>
        <v>99.7</v>
      </c>
      <c r="O11" s="25">
        <f>IF(D11="","",100*(G11-0.7*I11)/(2.8*D11+1.18*E11+0.65*F11))</f>
        <v>92.301671930393667</v>
      </c>
      <c r="P11" s="26">
        <f>IF(D11="","",D11/(E11+F11))</f>
        <v>2.3232104121475055</v>
      </c>
      <c r="Q11" s="27">
        <f>IF(E11="","",E11/F11)</f>
        <v>1.3107769423558897</v>
      </c>
      <c r="R11" s="25">
        <f>IF(D11="","",4.071*G11-7.6*D11-6.718*E11-1.432*F11-2.852*I11)</f>
        <v>54.657919999999933</v>
      </c>
      <c r="S11" s="26">
        <f>IF(D11="","",2.87*D11-0.7544*R11)</f>
        <v>20.24146515200006</v>
      </c>
      <c r="T11" s="26">
        <f>IF(E11="","",2.65*E11-1.692*F11)</f>
        <v>7.1084200000000006</v>
      </c>
      <c r="U11" s="27">
        <f>IF(F11="","",3.043*F11)</f>
        <v>12.141570000000002</v>
      </c>
      <c r="V11" s="224">
        <f t="shared" si="1"/>
        <v>28.290254099999999</v>
      </c>
      <c r="W11" s="225">
        <v>1</v>
      </c>
      <c r="X11" s="226"/>
    </row>
    <row r="12" spans="1:24" ht="26.1" customHeight="1" x14ac:dyDescent="0.25">
      <c r="A12" s="154">
        <v>0.625</v>
      </c>
      <c r="B12" s="96">
        <v>1380</v>
      </c>
      <c r="C12" s="222"/>
      <c r="D12" s="91"/>
      <c r="E12" s="36"/>
      <c r="F12" s="36"/>
      <c r="G12" s="36"/>
      <c r="H12" s="36"/>
      <c r="I12" s="36"/>
      <c r="J12" s="36"/>
      <c r="K12" s="36"/>
      <c r="L12" s="37"/>
      <c r="M12" s="37"/>
      <c r="N12" s="24" t="str">
        <f t="shared" si="2"/>
        <v/>
      </c>
      <c r="O12" s="25"/>
      <c r="P12" s="26"/>
      <c r="Q12" s="27"/>
      <c r="R12" s="25"/>
      <c r="S12" s="26"/>
      <c r="T12" s="26"/>
      <c r="U12" s="27"/>
      <c r="V12" s="224" t="str">
        <f t="shared" si="1"/>
        <v/>
      </c>
      <c r="W12" s="225"/>
      <c r="X12" s="226"/>
    </row>
    <row r="13" spans="1:24" ht="26.1" customHeight="1" x14ac:dyDescent="0.25">
      <c r="A13" s="154">
        <v>0.66666666666666696</v>
      </c>
      <c r="B13" s="96">
        <v>1374</v>
      </c>
      <c r="C13" s="222">
        <v>1.6</v>
      </c>
      <c r="D13" s="91">
        <v>21.41</v>
      </c>
      <c r="E13" s="36">
        <v>5.23</v>
      </c>
      <c r="F13" s="36">
        <v>3.99</v>
      </c>
      <c r="G13" s="36">
        <v>64.19</v>
      </c>
      <c r="H13" s="36">
        <v>3.38</v>
      </c>
      <c r="I13" s="36">
        <v>0.84</v>
      </c>
      <c r="J13" s="36">
        <v>0.14000000000000001</v>
      </c>
      <c r="K13" s="36">
        <v>0.39</v>
      </c>
      <c r="L13" s="37">
        <v>0.02</v>
      </c>
      <c r="M13" s="223">
        <f>IF(K13=0,"",(0.658*K13+J13))</f>
        <v>0.39662000000000003</v>
      </c>
      <c r="N13" s="24">
        <f t="shared" si="2"/>
        <v>99.589999999999989</v>
      </c>
      <c r="O13" s="25">
        <f>IF(D13="","",100*(G13-0.7*I13)/(2.8*D13+1.18*E13+0.65*F13))</f>
        <v>92.561949793997911</v>
      </c>
      <c r="P13" s="26">
        <f>IF(D13="","",D13/(E13+F13))</f>
        <v>2.3221258134490239</v>
      </c>
      <c r="Q13" s="27">
        <f>IF(E13="","",E13/F13)</f>
        <v>1.3107769423558897</v>
      </c>
      <c r="R13" s="25">
        <f>IF(D13="","",4.071*G13-7.6*D13-6.718*E13-1.432*F13-2.852*I13)</f>
        <v>55.356989999999982</v>
      </c>
      <c r="S13" s="26">
        <f>IF(D13="","",2.87*D13-0.7544*R13)</f>
        <v>19.685386744000013</v>
      </c>
      <c r="T13" s="26">
        <f>IF(E13="","",2.65*E13-1.692*F13)</f>
        <v>7.1084200000000006</v>
      </c>
      <c r="U13" s="27">
        <f>IF(F13="","",3.043*F13)</f>
        <v>12.141570000000002</v>
      </c>
      <c r="V13" s="224">
        <f t="shared" si="1"/>
        <v>28.200254099999999</v>
      </c>
      <c r="W13" s="225">
        <v>1</v>
      </c>
      <c r="X13" s="226"/>
    </row>
    <row r="14" spans="1:24" ht="26.1" customHeight="1" x14ac:dyDescent="0.25">
      <c r="A14" s="154">
        <v>0.70833333333333304</v>
      </c>
      <c r="B14" s="96">
        <v>1430</v>
      </c>
      <c r="C14" s="222"/>
      <c r="D14" s="91"/>
      <c r="E14" s="36"/>
      <c r="F14" s="36"/>
      <c r="G14" s="36"/>
      <c r="H14" s="36"/>
      <c r="I14" s="36"/>
      <c r="J14" s="36"/>
      <c r="K14" s="36"/>
      <c r="L14" s="37"/>
      <c r="M14" s="37"/>
      <c r="N14" s="24" t="str">
        <f t="shared" si="2"/>
        <v/>
      </c>
      <c r="O14" s="25"/>
      <c r="P14" s="26"/>
      <c r="Q14" s="27"/>
      <c r="R14" s="25"/>
      <c r="S14" s="26"/>
      <c r="T14" s="26"/>
      <c r="U14" s="27"/>
      <c r="V14" s="224" t="str">
        <f t="shared" si="1"/>
        <v/>
      </c>
      <c r="W14" s="225"/>
      <c r="X14" s="226"/>
    </row>
    <row r="15" spans="1:24" ht="26.1" customHeight="1" x14ac:dyDescent="0.25">
      <c r="A15" s="154">
        <v>0.75</v>
      </c>
      <c r="B15" s="96">
        <v>1406</v>
      </c>
      <c r="C15" s="222">
        <v>1.52</v>
      </c>
      <c r="D15" s="91">
        <v>21.43</v>
      </c>
      <c r="E15" s="36">
        <v>5.25</v>
      </c>
      <c r="F15" s="36">
        <v>3.95</v>
      </c>
      <c r="G15" s="36">
        <v>64.23</v>
      </c>
      <c r="H15" s="36">
        <v>3.28</v>
      </c>
      <c r="I15" s="36">
        <v>0.81</v>
      </c>
      <c r="J15" s="36">
        <v>0.14000000000000001</v>
      </c>
      <c r="K15" s="36">
        <v>0.38</v>
      </c>
      <c r="L15" s="37">
        <v>0.02</v>
      </c>
      <c r="M15" s="223">
        <f>IF(K15=0,"",(0.658*K15+J15))</f>
        <v>0.39004000000000005</v>
      </c>
      <c r="N15" s="24">
        <f t="shared" si="2"/>
        <v>99.49</v>
      </c>
      <c r="O15" s="25">
        <f>IF(D15="","",100*(G15-0.7*I15)/(2.8*D15+1.18*E15+0.65*F15))</f>
        <v>92.57850843070392</v>
      </c>
      <c r="P15" s="26">
        <f>IF(D15="","",D15/(E15+F15))</f>
        <v>2.3293478260869565</v>
      </c>
      <c r="Q15" s="27">
        <f>IF(E15="","",E15/F15)</f>
        <v>1.3291139240506329</v>
      </c>
      <c r="R15" s="25">
        <f>IF(D15="","",4.071*G15-7.6*D15-6.718*E15-1.432*F15-2.852*I15)</f>
        <v>55.376309999999989</v>
      </c>
      <c r="S15" s="26">
        <f>IF(D15="","",2.87*D15-0.7544*R15)</f>
        <v>19.728211736000013</v>
      </c>
      <c r="T15" s="26">
        <f>IF(E15="","",2.65*E15-1.692*F15)</f>
        <v>7.2290999999999999</v>
      </c>
      <c r="U15" s="27">
        <f>IF(F15="","",3.043*F15)</f>
        <v>12.019850000000002</v>
      </c>
      <c r="V15" s="224">
        <f t="shared" si="1"/>
        <v>28.065720500000005</v>
      </c>
      <c r="W15" s="225">
        <v>1</v>
      </c>
      <c r="X15" s="226"/>
    </row>
    <row r="16" spans="1:24" ht="26.1" customHeight="1" x14ac:dyDescent="0.25">
      <c r="A16" s="154">
        <v>0.79166666666666696</v>
      </c>
      <c r="B16" s="96">
        <v>1338</v>
      </c>
      <c r="C16" s="222"/>
      <c r="D16" s="91"/>
      <c r="E16" s="36"/>
      <c r="F16" s="36"/>
      <c r="G16" s="36"/>
      <c r="H16" s="36"/>
      <c r="I16" s="36"/>
      <c r="J16" s="36"/>
      <c r="K16" s="36"/>
      <c r="L16" s="37"/>
      <c r="M16" s="37"/>
      <c r="N16" s="24" t="str">
        <f t="shared" si="2"/>
        <v/>
      </c>
      <c r="O16" s="25"/>
      <c r="P16" s="26"/>
      <c r="Q16" s="27"/>
      <c r="R16" s="25"/>
      <c r="S16" s="26"/>
      <c r="T16" s="26"/>
      <c r="U16" s="27"/>
      <c r="V16" s="224" t="str">
        <f t="shared" si="1"/>
        <v/>
      </c>
      <c r="W16" s="225"/>
      <c r="X16" s="226"/>
    </row>
    <row r="17" spans="1:24" ht="26.1" customHeight="1" x14ac:dyDescent="0.25">
      <c r="A17" s="154">
        <v>0.83333333333333304</v>
      </c>
      <c r="B17" s="96">
        <v>1370</v>
      </c>
      <c r="C17" s="222">
        <v>1.6</v>
      </c>
      <c r="D17" s="91">
        <v>21.42</v>
      </c>
      <c r="E17" s="36">
        <v>5.22</v>
      </c>
      <c r="F17" s="36">
        <v>4</v>
      </c>
      <c r="G17" s="36">
        <v>64.180000000000007</v>
      </c>
      <c r="H17" s="36">
        <v>3.31</v>
      </c>
      <c r="I17" s="36">
        <v>0.88</v>
      </c>
      <c r="J17" s="36">
        <v>0.14000000000000001</v>
      </c>
      <c r="K17" s="36">
        <v>0.39</v>
      </c>
      <c r="L17" s="37">
        <v>0.02</v>
      </c>
      <c r="M17" s="223">
        <f>IF(K17=0,"",(0.658*K17+J17))</f>
        <v>0.39662000000000003</v>
      </c>
      <c r="N17" s="24">
        <f t="shared" si="2"/>
        <v>99.56</v>
      </c>
      <c r="O17" s="25">
        <f>IF(D17="","",100*(G17-0.7*I17)/(2.8*D17+1.18*E17+0.65*F17))</f>
        <v>92.476096811550363</v>
      </c>
      <c r="P17" s="26">
        <f>IF(D17="","",D17/(E17+F17))</f>
        <v>2.3232104121475059</v>
      </c>
      <c r="Q17" s="27">
        <f>IF(E17="","",E17/F17)</f>
        <v>1.3049999999999999</v>
      </c>
      <c r="R17" s="25">
        <f>IF(D17="","",4.071*G17-7.6*D17-6.718*E17-1.432*F17-2.852*I17)</f>
        <v>55.179060000000028</v>
      </c>
      <c r="S17" s="26">
        <f>IF(D17="","",2.87*D17-0.7544*R17)</f>
        <v>19.848317135999991</v>
      </c>
      <c r="T17" s="26">
        <f>IF(E17="","",2.65*E17-1.692*F17)</f>
        <v>7.0649999999999986</v>
      </c>
      <c r="U17" s="27">
        <f>IF(F17="","",3.043*F17)</f>
        <v>12.172000000000001</v>
      </c>
      <c r="V17" s="224">
        <f t="shared" si="1"/>
        <v>28.122269999999997</v>
      </c>
      <c r="W17" s="225">
        <v>1</v>
      </c>
      <c r="X17" s="226" t="s">
        <v>83</v>
      </c>
    </row>
    <row r="18" spans="1:24" ht="26.1" customHeight="1" x14ac:dyDescent="0.25">
      <c r="A18" s="154">
        <v>0.875</v>
      </c>
      <c r="B18" s="96">
        <v>1352</v>
      </c>
      <c r="C18" s="222"/>
      <c r="D18" s="91"/>
      <c r="E18" s="36"/>
      <c r="F18" s="36"/>
      <c r="G18" s="36"/>
      <c r="H18" s="36"/>
      <c r="I18" s="36"/>
      <c r="J18" s="36"/>
      <c r="K18" s="36"/>
      <c r="L18" s="37"/>
      <c r="M18" s="37"/>
      <c r="N18" s="24" t="str">
        <f t="shared" si="2"/>
        <v/>
      </c>
      <c r="O18" s="25"/>
      <c r="P18" s="26"/>
      <c r="Q18" s="27"/>
      <c r="R18" s="25"/>
      <c r="S18" s="26"/>
      <c r="T18" s="26"/>
      <c r="U18" s="27"/>
      <c r="V18" s="224" t="str">
        <f t="shared" si="1"/>
        <v/>
      </c>
      <c r="W18" s="225"/>
      <c r="X18" s="226"/>
    </row>
    <row r="19" spans="1:24" ht="26.1" customHeight="1" x14ac:dyDescent="0.25">
      <c r="A19" s="154">
        <v>0.91666666666666696</v>
      </c>
      <c r="B19" s="96">
        <v>1330</v>
      </c>
      <c r="C19" s="222">
        <v>1.52</v>
      </c>
      <c r="D19" s="91">
        <v>21.41</v>
      </c>
      <c r="E19" s="36">
        <v>5.21</v>
      </c>
      <c r="F19" s="36">
        <v>4</v>
      </c>
      <c r="G19" s="36">
        <v>64.22</v>
      </c>
      <c r="H19" s="36">
        <v>3.31</v>
      </c>
      <c r="I19" s="36">
        <v>0.85</v>
      </c>
      <c r="J19" s="36">
        <v>0.14000000000000001</v>
      </c>
      <c r="K19" s="36">
        <v>0.38</v>
      </c>
      <c r="L19" s="37">
        <v>0.03</v>
      </c>
      <c r="M19" s="223">
        <f>IF(K19=0,"",(0.658*K19+J19))</f>
        <v>0.39004000000000005</v>
      </c>
      <c r="N19" s="24">
        <f t="shared" si="2"/>
        <v>99.55</v>
      </c>
      <c r="O19" s="25">
        <f>IF(D19="","",100*(G19-0.7*I19)/(2.8*D19+1.18*E19+0.65*F19))</f>
        <v>92.618471580504206</v>
      </c>
      <c r="P19" s="26">
        <f>IF(D19="","",D19/(E19+F19))</f>
        <v>2.324647122692725</v>
      </c>
      <c r="Q19" s="27">
        <f>IF(E19="","",E19/F19)</f>
        <v>1.3025</v>
      </c>
      <c r="R19" s="25">
        <f>IF(D19="","",4.071*G19-7.6*D19-6.718*E19-1.432*F19-2.852*I19)</f>
        <v>55.570640000000012</v>
      </c>
      <c r="S19" s="26">
        <f>IF(D19="","",2.87*D19-0.7544*R19)</f>
        <v>19.524209183999993</v>
      </c>
      <c r="T19" s="26">
        <f>IF(E19="","",2.65*E19-1.692*F19)</f>
        <v>7.0385</v>
      </c>
      <c r="U19" s="27">
        <f>IF(F19="","",3.043*F19)</f>
        <v>12.172000000000001</v>
      </c>
      <c r="V19" s="224">
        <f t="shared" si="1"/>
        <v>28.085744999999999</v>
      </c>
      <c r="W19" s="225">
        <v>1</v>
      </c>
      <c r="X19" s="226"/>
    </row>
    <row r="20" spans="1:24" ht="26.1" customHeight="1" x14ac:dyDescent="0.25">
      <c r="A20" s="154">
        <v>0.95833333333333304</v>
      </c>
      <c r="B20" s="96">
        <v>1372</v>
      </c>
      <c r="C20" s="222"/>
      <c r="D20" s="91"/>
      <c r="E20" s="36"/>
      <c r="F20" s="36"/>
      <c r="G20" s="36"/>
      <c r="H20" s="36"/>
      <c r="I20" s="36"/>
      <c r="J20" s="36"/>
      <c r="K20" s="36"/>
      <c r="L20" s="37"/>
      <c r="M20" s="37"/>
      <c r="N20" s="24" t="str">
        <f t="shared" si="2"/>
        <v/>
      </c>
      <c r="O20" s="25"/>
      <c r="P20" s="26"/>
      <c r="Q20" s="27"/>
      <c r="R20" s="25"/>
      <c r="S20" s="26"/>
      <c r="T20" s="26"/>
      <c r="U20" s="27"/>
      <c r="V20" s="224" t="str">
        <f t="shared" si="1"/>
        <v/>
      </c>
      <c r="W20" s="225"/>
      <c r="X20" s="226"/>
    </row>
    <row r="21" spans="1:24" ht="26.1" customHeight="1" x14ac:dyDescent="0.25">
      <c r="A21" s="154">
        <v>1</v>
      </c>
      <c r="B21" s="96">
        <v>1360</v>
      </c>
      <c r="C21" s="222">
        <v>1.6</v>
      </c>
      <c r="D21" s="91">
        <v>21.42</v>
      </c>
      <c r="E21" s="36">
        <v>5.22</v>
      </c>
      <c r="F21" s="36">
        <v>3.96</v>
      </c>
      <c r="G21" s="36">
        <v>63.99</v>
      </c>
      <c r="H21" s="36">
        <v>3.44</v>
      </c>
      <c r="I21" s="36">
        <v>0.92</v>
      </c>
      <c r="J21" s="36">
        <v>0.14000000000000001</v>
      </c>
      <c r="K21" s="36">
        <v>0.4</v>
      </c>
      <c r="L21" s="37">
        <v>0.03</v>
      </c>
      <c r="M21" s="223">
        <f>IF(K21=0,"",(0.658*K21+J21))</f>
        <v>0.40320000000000006</v>
      </c>
      <c r="N21" s="24">
        <f t="shared" si="2"/>
        <v>99.52000000000001</v>
      </c>
      <c r="O21" s="25">
        <f>IF(D21="","",100*(G21-0.7*I21)/(2.8*D21+1.18*E21+0.65*F21))</f>
        <v>92.193812800540258</v>
      </c>
      <c r="P21" s="26">
        <f>IF(D21="","",D21/(E21+F21))</f>
        <v>2.3333333333333335</v>
      </c>
      <c r="Q21" s="27">
        <f>IF(E21="","",E21/F21)</f>
        <v>1.3181818181818181</v>
      </c>
      <c r="R21" s="25">
        <f>IF(D21="","",4.071*G21-7.6*D21-6.718*E21-1.432*F21-2.852*I21)</f>
        <v>54.348769999999988</v>
      </c>
      <c r="S21" s="26">
        <f>IF(D21="","",2.87*D21-0.7544*R21)</f>
        <v>20.474687912000022</v>
      </c>
      <c r="T21" s="26">
        <f>IF(E21="","",2.65*E21-1.692*F21)</f>
        <v>7.1326799999999988</v>
      </c>
      <c r="U21" s="27">
        <f>IF(F21="","",3.043*F21)</f>
        <v>12.050280000000001</v>
      </c>
      <c r="V21" s="224">
        <f t="shared" si="1"/>
        <v>28.171006400000003</v>
      </c>
      <c r="W21" s="225">
        <v>1</v>
      </c>
      <c r="X21" s="226"/>
    </row>
    <row r="22" spans="1:24" ht="26.1" customHeight="1" x14ac:dyDescent="0.25">
      <c r="A22" s="154">
        <v>1.0416666666666701</v>
      </c>
      <c r="B22" s="96">
        <v>1344</v>
      </c>
      <c r="C22" s="222"/>
      <c r="D22" s="91"/>
      <c r="E22" s="36"/>
      <c r="F22" s="36"/>
      <c r="G22" s="36"/>
      <c r="H22" s="36"/>
      <c r="I22" s="36"/>
      <c r="J22" s="36"/>
      <c r="K22" s="36"/>
      <c r="L22" s="37"/>
      <c r="M22" s="37"/>
      <c r="N22" s="24" t="str">
        <f t="shared" si="2"/>
        <v/>
      </c>
      <c r="O22" s="25"/>
      <c r="P22" s="26"/>
      <c r="Q22" s="27"/>
      <c r="R22" s="25"/>
      <c r="S22" s="26"/>
      <c r="T22" s="26"/>
      <c r="U22" s="27"/>
      <c r="V22" s="224" t="str">
        <f t="shared" si="1"/>
        <v/>
      </c>
      <c r="W22" s="225"/>
      <c r="X22" s="226"/>
    </row>
    <row r="23" spans="1:24" ht="26.1" customHeight="1" x14ac:dyDescent="0.25">
      <c r="A23" s="154">
        <v>1.0833333333333299</v>
      </c>
      <c r="B23" s="96">
        <v>1328</v>
      </c>
      <c r="C23" s="222">
        <v>1.52</v>
      </c>
      <c r="D23" s="91">
        <v>21.45</v>
      </c>
      <c r="E23" s="36">
        <v>5.2</v>
      </c>
      <c r="F23" s="36">
        <v>3.94</v>
      </c>
      <c r="G23" s="36">
        <v>64.19</v>
      </c>
      <c r="H23" s="36">
        <v>3.44</v>
      </c>
      <c r="I23" s="36">
        <v>0.85</v>
      </c>
      <c r="J23" s="36">
        <v>0.14000000000000001</v>
      </c>
      <c r="K23" s="36">
        <v>0.39</v>
      </c>
      <c r="L23" s="37">
        <v>0.03</v>
      </c>
      <c r="M23" s="223">
        <f>IF(K23=0,"",(0.658*K23+J23))</f>
        <v>0.39662000000000003</v>
      </c>
      <c r="N23" s="24">
        <f t="shared" si="2"/>
        <v>99.63</v>
      </c>
      <c r="O23" s="25">
        <f>IF(D23="","",100*(G23-0.7*I23)/(2.8*D23+1.18*E23+0.65*F23))</f>
        <v>92.492400773739391</v>
      </c>
      <c r="P23" s="26">
        <f>IF(D23="","",D23/(E23+F23))</f>
        <v>2.3468271334792119</v>
      </c>
      <c r="Q23" s="27">
        <f>IF(E23="","",E23/F23)</f>
        <v>1.3197969543147208</v>
      </c>
      <c r="R23" s="25">
        <f>IF(D23="","",4.071*G23-7.6*D23-6.718*E23-1.432*F23-2.852*I23)</f>
        <v>55.297609999999985</v>
      </c>
      <c r="S23" s="26">
        <f>IF(D23="","",2.87*D23-0.7544*R23)</f>
        <v>19.844983016000015</v>
      </c>
      <c r="T23" s="26">
        <f>IF(E23="","",2.65*E23-1.692*F23)</f>
        <v>7.1135199999999994</v>
      </c>
      <c r="U23" s="27">
        <f>IF(F23="","",3.043*F23)</f>
        <v>11.989420000000001</v>
      </c>
      <c r="V23" s="224">
        <f t="shared" si="1"/>
        <v>28.060614600000005</v>
      </c>
      <c r="W23" s="225">
        <v>1</v>
      </c>
      <c r="X23" s="226"/>
    </row>
    <row r="24" spans="1:24" ht="26.1" customHeight="1" x14ac:dyDescent="0.25">
      <c r="A24" s="154">
        <v>1.125</v>
      </c>
      <c r="B24" s="96">
        <v>1322</v>
      </c>
      <c r="C24" s="222"/>
      <c r="D24" s="91"/>
      <c r="E24" s="36"/>
      <c r="F24" s="36"/>
      <c r="G24" s="36"/>
      <c r="H24" s="36"/>
      <c r="I24" s="36"/>
      <c r="J24" s="36"/>
      <c r="K24" s="36"/>
      <c r="L24" s="37"/>
      <c r="M24" s="37"/>
      <c r="N24" s="24" t="str">
        <f t="shared" si="2"/>
        <v/>
      </c>
      <c r="O24" s="25"/>
      <c r="P24" s="26"/>
      <c r="Q24" s="27"/>
      <c r="R24" s="25"/>
      <c r="S24" s="26"/>
      <c r="T24" s="26"/>
      <c r="U24" s="27"/>
      <c r="V24" s="224" t="str">
        <f t="shared" si="1"/>
        <v/>
      </c>
      <c r="W24" s="225"/>
      <c r="X24" s="226"/>
    </row>
    <row r="25" spans="1:24" ht="26.1" customHeight="1" x14ac:dyDescent="0.25">
      <c r="A25" s="154">
        <v>1.1666666666666701</v>
      </c>
      <c r="B25" s="96">
        <v>1354</v>
      </c>
      <c r="C25" s="222">
        <v>1.44</v>
      </c>
      <c r="D25" s="91">
        <v>21.45</v>
      </c>
      <c r="E25" s="36">
        <v>5.22</v>
      </c>
      <c r="F25" s="36">
        <v>3.98</v>
      </c>
      <c r="G25" s="36">
        <v>64.08</v>
      </c>
      <c r="H25" s="36">
        <v>3.45</v>
      </c>
      <c r="I25" s="36">
        <v>0.81</v>
      </c>
      <c r="J25" s="36">
        <v>0.14000000000000001</v>
      </c>
      <c r="K25" s="36">
        <v>0.38</v>
      </c>
      <c r="L25" s="37">
        <v>0.02</v>
      </c>
      <c r="M25" s="223">
        <f>IF(K25=0,"",(0.658*K25+J25))</f>
        <v>0.39004000000000005</v>
      </c>
      <c r="N25" s="24">
        <f t="shared" si="2"/>
        <v>99.529999999999987</v>
      </c>
      <c r="O25" s="25">
        <f>IF(D25="","",100*(G25-0.7*I25)/(2.8*D25+1.18*E25+0.65*F25))</f>
        <v>92.306551987745365</v>
      </c>
      <c r="P25" s="26">
        <f>IF(D25="","",D25/(E25+F25))</f>
        <v>2.331521739130435</v>
      </c>
      <c r="Q25" s="27">
        <f>IF(E25="","",E25/F25)</f>
        <v>1.3115577889447236</v>
      </c>
      <c r="R25" s="25">
        <f>IF(D25="","",4.071*G25-7.6*D25-6.718*E25-1.432*F25-2.852*I25)</f>
        <v>54.772239999999982</v>
      </c>
      <c r="S25" s="26">
        <f>IF(D25="","",2.87*D25-0.7544*R25)</f>
        <v>20.241322144000016</v>
      </c>
      <c r="T25" s="26">
        <f>IF(E25="","",2.65*E25-1.692*F25)</f>
        <v>7.0988399999999983</v>
      </c>
      <c r="U25" s="27">
        <f>IF(F25="","",3.043*F25)</f>
        <v>12.111140000000001</v>
      </c>
      <c r="V25" s="224">
        <f t="shared" si="1"/>
        <v>28.211768199999998</v>
      </c>
      <c r="W25" s="225">
        <v>1</v>
      </c>
      <c r="X25" s="226"/>
    </row>
    <row r="26" spans="1:24" ht="26.1" customHeight="1" x14ac:dyDescent="0.25">
      <c r="A26" s="154">
        <v>1.2083333333333299</v>
      </c>
      <c r="B26" s="96">
        <v>1348</v>
      </c>
      <c r="C26" s="222"/>
      <c r="D26" s="91"/>
      <c r="E26" s="36"/>
      <c r="F26" s="36"/>
      <c r="G26" s="36"/>
      <c r="H26" s="36"/>
      <c r="I26" s="36"/>
      <c r="J26" s="36"/>
      <c r="K26" s="36"/>
      <c r="L26" s="37"/>
      <c r="M26" s="37"/>
      <c r="N26" s="24" t="str">
        <f t="shared" si="2"/>
        <v/>
      </c>
      <c r="O26" s="25"/>
      <c r="P26" s="26"/>
      <c r="Q26" s="27"/>
      <c r="R26" s="25"/>
      <c r="S26" s="26"/>
      <c r="T26" s="26"/>
      <c r="U26" s="27"/>
      <c r="V26" s="224" t="str">
        <f t="shared" si="1"/>
        <v/>
      </c>
      <c r="W26" s="225"/>
      <c r="X26" s="226"/>
    </row>
    <row r="27" spans="1:24" ht="26.1" customHeight="1" thickBot="1" x14ac:dyDescent="0.3">
      <c r="A27" s="161">
        <v>1.25</v>
      </c>
      <c r="B27" s="102">
        <v>1380</v>
      </c>
      <c r="C27" s="227">
        <v>1.36</v>
      </c>
      <c r="D27" s="101">
        <v>21.51</v>
      </c>
      <c r="E27" s="162">
        <v>5.17</v>
      </c>
      <c r="F27" s="162">
        <v>3.94</v>
      </c>
      <c r="G27" s="162">
        <v>64.23</v>
      </c>
      <c r="H27" s="162">
        <v>3.44</v>
      </c>
      <c r="I27" s="162">
        <v>0.8</v>
      </c>
      <c r="J27" s="162">
        <v>0.14000000000000001</v>
      </c>
      <c r="K27" s="162">
        <v>0.36</v>
      </c>
      <c r="L27" s="163">
        <v>0.02</v>
      </c>
      <c r="M27" s="223">
        <f>IF(K27=0,"",(0.658*K27+J27))</f>
        <v>0.37687999999999999</v>
      </c>
      <c r="N27" s="39">
        <f t="shared" si="2"/>
        <v>99.61</v>
      </c>
      <c r="O27" s="25">
        <f>IF(D27="","",100*(G27-0.7*I27)/(2.8*D27+1.18*E27+0.65*F27))</f>
        <v>92.423239502043842</v>
      </c>
      <c r="P27" s="26">
        <f>IF(D27="","",D27/(E27+F27))</f>
        <v>2.361141602634468</v>
      </c>
      <c r="Q27" s="27">
        <f>IF(E27="","",E27/F27)</f>
        <v>1.3121827411167513</v>
      </c>
      <c r="R27" s="25">
        <f>IF(D27="","",4.071*G27-7.6*D27-6.718*E27-1.432*F27-2.852*I27)</f>
        <v>55.348589999999987</v>
      </c>
      <c r="S27" s="26">
        <f>IF(D27="","",2.87*D27-0.7544*R27)</f>
        <v>19.978723704000018</v>
      </c>
      <c r="T27" s="26">
        <f>IF(E27="","",2.65*E27-1.692*F27)</f>
        <v>7.0340199999999999</v>
      </c>
      <c r="U27" s="27">
        <f>IF(F27="","",3.043*F27)</f>
        <v>11.989420000000001</v>
      </c>
      <c r="V27" s="224">
        <f t="shared" si="1"/>
        <v>27.951039600000005</v>
      </c>
      <c r="W27" s="228">
        <v>1</v>
      </c>
      <c r="X27" s="229"/>
    </row>
    <row r="28" spans="1:24" ht="26.1" customHeight="1" thickTop="1" thickBot="1" x14ac:dyDescent="0.3">
      <c r="A28" s="230" t="s">
        <v>10</v>
      </c>
      <c r="B28" s="231">
        <f>AVERAGE(B4:B27)</f>
        <v>1362.3333333333333</v>
      </c>
      <c r="C28" s="172">
        <f t="shared" ref="C28:N28" si="3">AVERAGE(C4:C27)</f>
        <v>1.5599999999999998</v>
      </c>
      <c r="D28" s="170">
        <f t="shared" si="3"/>
        <v>21.430833333333329</v>
      </c>
      <c r="E28" s="232">
        <f t="shared" si="3"/>
        <v>5.2216666666666667</v>
      </c>
      <c r="F28" s="232">
        <f t="shared" si="3"/>
        <v>3.9691666666666658</v>
      </c>
      <c r="G28" s="232">
        <f t="shared" si="3"/>
        <v>64.165833333333339</v>
      </c>
      <c r="H28" s="232">
        <f t="shared" si="3"/>
        <v>3.4066666666666667</v>
      </c>
      <c r="I28" s="232">
        <f t="shared" si="3"/>
        <v>0.8566666666666668</v>
      </c>
      <c r="J28" s="232">
        <f t="shared" si="3"/>
        <v>0.14000000000000004</v>
      </c>
      <c r="K28" s="232">
        <f t="shared" si="3"/>
        <v>0.37833333333333341</v>
      </c>
      <c r="L28" s="233">
        <f t="shared" si="3"/>
        <v>2.416666666666667E-2</v>
      </c>
      <c r="M28" s="233">
        <f t="shared" si="3"/>
        <v>0.38894333333333336</v>
      </c>
      <c r="N28" s="234">
        <f t="shared" si="3"/>
        <v>99.59333333333332</v>
      </c>
      <c r="O28" s="170">
        <f>(G28-0.7*I28)/(2.8*D28+1.18*E28+0.65*F28)*100</f>
        <v>92.4627591429212</v>
      </c>
      <c r="P28" s="232">
        <f>D28/(E28+F28)</f>
        <v>2.3317617191041795</v>
      </c>
      <c r="Q28" s="233">
        <f>E28/F28</f>
        <v>1.315557421792988</v>
      </c>
      <c r="R28" s="235">
        <f>4.071*(G28)-7.6*D28-6.718*E28-1.432*F28-2.852*I28</f>
        <v>55.138557500000054</v>
      </c>
      <c r="S28" s="232">
        <f>2.867*D28-0.7544*R28</f>
        <v>19.845671388666617</v>
      </c>
      <c r="T28" s="232">
        <f>2.65*E28-1.692*F28</f>
        <v>7.1215866666666674</v>
      </c>
      <c r="U28" s="233">
        <f>3.043*F28</f>
        <v>12.078174166666665</v>
      </c>
      <c r="V28" s="233">
        <f>+(1.13*T28)+(1.35*U28)+H28+M28</f>
        <v>28.148538058333333</v>
      </c>
      <c r="W28" s="236"/>
      <c r="X28" s="237"/>
    </row>
    <row r="29" spans="1:24" ht="26.1" customHeight="1" x14ac:dyDescent="0.25">
      <c r="A29" s="238" t="s">
        <v>46</v>
      </c>
      <c r="B29" s="239">
        <f>MIN(B4:B27)</f>
        <v>1322</v>
      </c>
      <c r="C29" s="114">
        <f t="shared" ref="C29:V29" si="4">MIN(C4:C27)</f>
        <v>1.36</v>
      </c>
      <c r="D29" s="112">
        <f t="shared" si="4"/>
        <v>21.35</v>
      </c>
      <c r="E29" s="113">
        <f t="shared" si="4"/>
        <v>5.17</v>
      </c>
      <c r="F29" s="113">
        <f t="shared" si="4"/>
        <v>3.93</v>
      </c>
      <c r="G29" s="113">
        <f t="shared" si="4"/>
        <v>63.99</v>
      </c>
      <c r="H29" s="113">
        <f t="shared" si="4"/>
        <v>3.28</v>
      </c>
      <c r="I29" s="113">
        <f t="shared" si="4"/>
        <v>0.71</v>
      </c>
      <c r="J29" s="113">
        <f t="shared" si="4"/>
        <v>0.14000000000000001</v>
      </c>
      <c r="K29" s="113">
        <f t="shared" si="4"/>
        <v>0.35</v>
      </c>
      <c r="L29" s="114">
        <f t="shared" si="4"/>
        <v>0.02</v>
      </c>
      <c r="M29" s="114">
        <f t="shared" si="4"/>
        <v>0.37030000000000002</v>
      </c>
      <c r="N29" s="112">
        <f t="shared" si="4"/>
        <v>99.49</v>
      </c>
      <c r="O29" s="112">
        <f t="shared" si="4"/>
        <v>92.193812800540258</v>
      </c>
      <c r="P29" s="113">
        <f t="shared" si="4"/>
        <v>2.3221258134490239</v>
      </c>
      <c r="Q29" s="114">
        <f t="shared" si="4"/>
        <v>1.3025</v>
      </c>
      <c r="R29" s="112">
        <f t="shared" si="4"/>
        <v>54.348769999999988</v>
      </c>
      <c r="S29" s="113">
        <f t="shared" si="4"/>
        <v>19.524209183999993</v>
      </c>
      <c r="T29" s="113">
        <f t="shared" si="4"/>
        <v>7.0340199999999999</v>
      </c>
      <c r="U29" s="114">
        <f t="shared" si="4"/>
        <v>11.958990000000002</v>
      </c>
      <c r="V29" s="114">
        <f t="shared" si="4"/>
        <v>27.951039600000005</v>
      </c>
      <c r="W29" s="240"/>
      <c r="X29" s="184"/>
    </row>
    <row r="30" spans="1:24" ht="26.1" customHeight="1" x14ac:dyDescent="0.25">
      <c r="A30" s="154" t="s">
        <v>47</v>
      </c>
      <c r="B30" s="241">
        <f>MAX(B4:B27)</f>
        <v>1430</v>
      </c>
      <c r="C30" s="27">
        <f t="shared" ref="C30:V30" si="5">MAX(C4:C27)</f>
        <v>1.68</v>
      </c>
      <c r="D30" s="25">
        <f t="shared" si="5"/>
        <v>21.51</v>
      </c>
      <c r="E30" s="26">
        <f t="shared" si="5"/>
        <v>5.25</v>
      </c>
      <c r="F30" s="26">
        <f t="shared" si="5"/>
        <v>4</v>
      </c>
      <c r="G30" s="26">
        <f t="shared" si="5"/>
        <v>64.260000000000005</v>
      </c>
      <c r="H30" s="26">
        <f t="shared" si="5"/>
        <v>3.51</v>
      </c>
      <c r="I30" s="26">
        <f t="shared" si="5"/>
        <v>1.06</v>
      </c>
      <c r="J30" s="26">
        <f t="shared" si="5"/>
        <v>0.14000000000000001</v>
      </c>
      <c r="K30" s="26">
        <f t="shared" si="5"/>
        <v>0.4</v>
      </c>
      <c r="L30" s="27">
        <f t="shared" si="5"/>
        <v>0.03</v>
      </c>
      <c r="M30" s="27">
        <f t="shared" si="5"/>
        <v>0.40320000000000006</v>
      </c>
      <c r="N30" s="25">
        <f t="shared" si="5"/>
        <v>99.700000000000017</v>
      </c>
      <c r="O30" s="25">
        <f t="shared" si="5"/>
        <v>92.618471580504206</v>
      </c>
      <c r="P30" s="26">
        <f t="shared" si="5"/>
        <v>2.361141602634468</v>
      </c>
      <c r="Q30" s="27">
        <f t="shared" si="5"/>
        <v>1.3333333333333333</v>
      </c>
      <c r="R30" s="25">
        <f t="shared" si="5"/>
        <v>55.632719999999999</v>
      </c>
      <c r="S30" s="26">
        <f t="shared" si="5"/>
        <v>20.474687912000022</v>
      </c>
      <c r="T30" s="26">
        <f t="shared" si="5"/>
        <v>7.2364399999999991</v>
      </c>
      <c r="U30" s="27">
        <f t="shared" si="5"/>
        <v>12.172000000000001</v>
      </c>
      <c r="V30" s="27">
        <f t="shared" si="5"/>
        <v>28.303934099999999</v>
      </c>
      <c r="W30" s="242"/>
      <c r="X30" s="189"/>
    </row>
    <row r="31" spans="1:24" ht="26.1" customHeight="1" thickBot="1" x14ac:dyDescent="0.3">
      <c r="A31" s="243" t="s">
        <v>48</v>
      </c>
      <c r="B31" s="126">
        <f>STDEV(B4:B27)</f>
        <v>24.400047517178724</v>
      </c>
      <c r="C31" s="127">
        <f t="shared" ref="C31:V31" si="6">STDEV(C4:C27)</f>
        <v>9.3419873299382741E-2</v>
      </c>
      <c r="D31" s="125">
        <f t="shared" si="6"/>
        <v>3.7769235516689287E-2</v>
      </c>
      <c r="E31" s="126">
        <f t="shared" si="6"/>
        <v>2.1248885888797912E-2</v>
      </c>
      <c r="F31" s="126">
        <f t="shared" si="6"/>
        <v>2.5390883594254281E-2</v>
      </c>
      <c r="G31" s="126">
        <f t="shared" si="6"/>
        <v>7.739606911950847E-2</v>
      </c>
      <c r="H31" s="126">
        <f t="shared" si="6"/>
        <v>7.215303601415958E-2</v>
      </c>
      <c r="I31" s="126">
        <f t="shared" si="6"/>
        <v>8.6374799916445893E-2</v>
      </c>
      <c r="J31" s="126">
        <f t="shared" si="6"/>
        <v>2.8989753257218837E-17</v>
      </c>
      <c r="K31" s="126">
        <f t="shared" si="6"/>
        <v>1.527525231651948E-2</v>
      </c>
      <c r="L31" s="127">
        <f t="shared" si="6"/>
        <v>5.1492865054443568E-3</v>
      </c>
      <c r="M31" s="127">
        <f t="shared" si="6"/>
        <v>1.0051116024269823E-2</v>
      </c>
      <c r="N31" s="125">
        <f t="shared" si="6"/>
        <v>6.9978351630843885E-2</v>
      </c>
      <c r="O31" s="125">
        <f t="shared" si="6"/>
        <v>0.13368747705500372</v>
      </c>
      <c r="P31" s="126">
        <f t="shared" si="6"/>
        <v>1.1362143283026432E-2</v>
      </c>
      <c r="Q31" s="127">
        <f t="shared" si="6"/>
        <v>9.3488090295037185E-3</v>
      </c>
      <c r="R31" s="125">
        <f t="shared" si="6"/>
        <v>0.3846557649054651</v>
      </c>
      <c r="S31" s="126">
        <f t="shared" si="6"/>
        <v>0.28231973542560462</v>
      </c>
      <c r="T31" s="126">
        <f t="shared" si="6"/>
        <v>6.5959597734774916E-2</v>
      </c>
      <c r="U31" s="127">
        <f t="shared" si="6"/>
        <v>7.7264458777315595E-2</v>
      </c>
      <c r="V31" s="127">
        <f t="shared" si="6"/>
        <v>9.9972401765598656E-2</v>
      </c>
      <c r="W31" s="244"/>
      <c r="X31" s="245"/>
    </row>
  </sheetData>
  <mergeCells count="10">
    <mergeCell ref="X1:X2"/>
    <mergeCell ref="A1:A2"/>
    <mergeCell ref="B1:B2"/>
    <mergeCell ref="C1:C2"/>
    <mergeCell ref="W1:W2"/>
    <mergeCell ref="D1:L1"/>
    <mergeCell ref="O1:Q1"/>
    <mergeCell ref="R1:U1"/>
    <mergeCell ref="M1:M2"/>
    <mergeCell ref="N1:N2"/>
  </mergeCells>
  <printOptions horizontalCentered="1" verticalCentered="1"/>
  <pageMargins left="0" right="0" top="0" bottom="0" header="0.3" footer="0.3"/>
  <pageSetup paperSize="9" scale="61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S31"/>
  <sheetViews>
    <sheetView zoomScale="85" zoomScaleNormal="85" workbookViewId="0">
      <selection sqref="A1:XFD1048576"/>
    </sheetView>
  </sheetViews>
  <sheetFormatPr defaultRowHeight="15" x14ac:dyDescent="0.25"/>
  <cols>
    <col min="1" max="4" width="9.140625" style="70"/>
    <col min="5" max="5" width="9.140625" style="70" hidden="1" customWidth="1"/>
    <col min="6" max="12" width="9.140625" style="70"/>
    <col min="13" max="16" width="8" style="70" customWidth="1"/>
    <col min="17" max="17" width="9.7109375" style="70" customWidth="1"/>
    <col min="18" max="18" width="10" style="70" customWidth="1"/>
    <col min="19" max="19" width="23.28515625" style="70" customWidth="1"/>
    <col min="20" max="16384" width="9.140625" style="70"/>
  </cols>
  <sheetData>
    <row r="1" spans="1:19" ht="18.75" customHeight="1" x14ac:dyDescent="0.25">
      <c r="A1" s="246" t="s">
        <v>0</v>
      </c>
      <c r="B1" s="247" t="s">
        <v>19</v>
      </c>
      <c r="C1" s="248"/>
      <c r="D1" s="248"/>
      <c r="E1" s="249"/>
      <c r="F1" s="250" t="s">
        <v>53</v>
      </c>
      <c r="G1" s="251" t="s">
        <v>52</v>
      </c>
      <c r="H1" s="252" t="s">
        <v>54</v>
      </c>
      <c r="I1" s="253" t="s">
        <v>51</v>
      </c>
      <c r="J1" s="254" t="s">
        <v>4</v>
      </c>
      <c r="K1" s="252" t="s">
        <v>50</v>
      </c>
      <c r="L1" s="253" t="s">
        <v>49</v>
      </c>
      <c r="M1" s="255" t="s">
        <v>39</v>
      </c>
      <c r="N1" s="256"/>
      <c r="O1" s="256"/>
      <c r="P1" s="257"/>
      <c r="Q1" s="258" t="s">
        <v>55</v>
      </c>
      <c r="R1" s="253" t="s">
        <v>56</v>
      </c>
      <c r="S1" s="259" t="s">
        <v>8</v>
      </c>
    </row>
    <row r="2" spans="1:19" ht="32.25" thickBot="1" x14ac:dyDescent="0.3">
      <c r="A2" s="260"/>
      <c r="B2" s="261" t="s">
        <v>20</v>
      </c>
      <c r="C2" s="262" t="s">
        <v>24</v>
      </c>
      <c r="D2" s="262" t="s">
        <v>11</v>
      </c>
      <c r="E2" s="263" t="s">
        <v>26</v>
      </c>
      <c r="F2" s="264"/>
      <c r="G2" s="265"/>
      <c r="H2" s="266"/>
      <c r="I2" s="267"/>
      <c r="J2" s="268"/>
      <c r="K2" s="266"/>
      <c r="L2" s="267"/>
      <c r="M2" s="261">
        <v>1</v>
      </c>
      <c r="N2" s="262">
        <v>2</v>
      </c>
      <c r="O2" s="262" t="s">
        <v>40</v>
      </c>
      <c r="P2" s="263" t="s">
        <v>41</v>
      </c>
      <c r="Q2" s="269"/>
      <c r="R2" s="267"/>
      <c r="S2" s="270"/>
    </row>
    <row r="3" spans="1:19" ht="38.25" customHeight="1" thickBot="1" x14ac:dyDescent="0.3">
      <c r="A3" s="271" t="s">
        <v>60</v>
      </c>
      <c r="B3" s="272"/>
      <c r="C3" s="273"/>
      <c r="D3" s="274"/>
      <c r="E3" s="275"/>
      <c r="F3" s="272" t="s">
        <v>62</v>
      </c>
      <c r="G3" s="82" t="s">
        <v>64</v>
      </c>
      <c r="H3" s="273" t="s">
        <v>81</v>
      </c>
      <c r="I3" s="275" t="s">
        <v>63</v>
      </c>
      <c r="J3" s="272"/>
      <c r="K3" s="273"/>
      <c r="L3" s="275"/>
      <c r="M3" s="276"/>
      <c r="N3" s="273"/>
      <c r="O3" s="273"/>
      <c r="P3" s="275"/>
      <c r="Q3" s="276"/>
      <c r="R3" s="275" t="s">
        <v>65</v>
      </c>
      <c r="S3" s="277"/>
    </row>
    <row r="4" spans="1:19" ht="23.25" customHeight="1" thickTop="1" x14ac:dyDescent="0.25">
      <c r="A4" s="278">
        <v>0.29166666666666669</v>
      </c>
      <c r="B4" s="47" t="str">
        <f t="shared" ref="B4:B27" si="0">IF(C4="","",100-(C4+D4))</f>
        <v/>
      </c>
      <c r="C4" s="48"/>
      <c r="D4" s="49"/>
      <c r="E4" s="50"/>
      <c r="F4" s="51"/>
      <c r="G4" s="279"/>
      <c r="H4" s="48"/>
      <c r="I4" s="52"/>
      <c r="J4" s="53"/>
      <c r="K4" s="48"/>
      <c r="L4" s="52"/>
      <c r="M4" s="54"/>
      <c r="N4" s="54"/>
      <c r="O4" s="54"/>
      <c r="P4" s="55"/>
      <c r="Q4" s="56"/>
      <c r="R4" s="57">
        <v>112</v>
      </c>
      <c r="S4" s="58"/>
    </row>
    <row r="5" spans="1:19" ht="23.25" customHeight="1" x14ac:dyDescent="0.25">
      <c r="A5" s="280">
        <v>0.33333333333333298</v>
      </c>
      <c r="B5" s="30">
        <f t="shared" si="0"/>
        <v>90.9</v>
      </c>
      <c r="C5" s="4">
        <v>5.0999999999999996</v>
      </c>
      <c r="D5" s="5">
        <v>4</v>
      </c>
      <c r="E5" s="6"/>
      <c r="F5" s="33">
        <v>337</v>
      </c>
      <c r="G5" s="4">
        <v>10.28</v>
      </c>
      <c r="H5" s="4">
        <v>2.8</v>
      </c>
      <c r="I5" s="7">
        <v>3.81</v>
      </c>
      <c r="J5" s="8">
        <v>92.87</v>
      </c>
      <c r="K5" s="4">
        <v>56.9</v>
      </c>
      <c r="L5" s="7">
        <v>6.38</v>
      </c>
      <c r="M5" s="54">
        <v>0.4</v>
      </c>
      <c r="N5" s="54">
        <v>0.3</v>
      </c>
      <c r="O5" s="54">
        <v>0.3</v>
      </c>
      <c r="P5" s="11"/>
      <c r="Q5" s="12">
        <v>3</v>
      </c>
      <c r="R5" s="11">
        <v>110</v>
      </c>
      <c r="S5" s="59" t="s">
        <v>85</v>
      </c>
    </row>
    <row r="6" spans="1:19" ht="23.25" customHeight="1" x14ac:dyDescent="0.25">
      <c r="A6" s="280">
        <v>0.375</v>
      </c>
      <c r="B6" s="30" t="str">
        <f t="shared" si="0"/>
        <v/>
      </c>
      <c r="C6" s="4"/>
      <c r="D6" s="5"/>
      <c r="E6" s="6"/>
      <c r="F6" s="33"/>
      <c r="G6" s="4"/>
      <c r="H6" s="4"/>
      <c r="I6" s="7"/>
      <c r="J6" s="8"/>
      <c r="K6" s="4"/>
      <c r="L6" s="7"/>
      <c r="M6" s="54"/>
      <c r="N6" s="54"/>
      <c r="O6" s="54"/>
      <c r="P6" s="11"/>
      <c r="Q6" s="12"/>
      <c r="R6" s="11">
        <v>111</v>
      </c>
      <c r="S6" s="59"/>
    </row>
    <row r="7" spans="1:19" ht="23.25" customHeight="1" x14ac:dyDescent="0.25">
      <c r="A7" s="280">
        <v>0.41666666666666702</v>
      </c>
      <c r="B7" s="30" t="str">
        <f t="shared" si="0"/>
        <v/>
      </c>
      <c r="C7" s="4"/>
      <c r="D7" s="5"/>
      <c r="E7" s="6"/>
      <c r="F7" s="33">
        <v>339</v>
      </c>
      <c r="G7" s="4">
        <v>9.9600000000000009</v>
      </c>
      <c r="H7" s="4">
        <v>2.78</v>
      </c>
      <c r="I7" s="7">
        <v>3.73</v>
      </c>
      <c r="J7" s="8">
        <v>92.99</v>
      </c>
      <c r="K7" s="4">
        <v>57.05</v>
      </c>
      <c r="L7" s="7">
        <v>6.45</v>
      </c>
      <c r="M7" s="54">
        <v>0.4</v>
      </c>
      <c r="N7" s="54">
        <v>0.3</v>
      </c>
      <c r="O7" s="54">
        <v>0.3</v>
      </c>
      <c r="P7" s="11"/>
      <c r="Q7" s="12">
        <v>3</v>
      </c>
      <c r="R7" s="11">
        <v>110</v>
      </c>
      <c r="S7" s="59"/>
    </row>
    <row r="8" spans="1:19" ht="23.25" customHeight="1" x14ac:dyDescent="0.25">
      <c r="A8" s="280">
        <v>0.45833333333333298</v>
      </c>
      <c r="B8" s="30" t="str">
        <f t="shared" si="0"/>
        <v/>
      </c>
      <c r="C8" s="4"/>
      <c r="D8" s="5"/>
      <c r="E8" s="6"/>
      <c r="F8" s="33"/>
      <c r="G8" s="4"/>
      <c r="H8" s="4"/>
      <c r="I8" s="7"/>
      <c r="J8" s="8"/>
      <c r="K8" s="4"/>
      <c r="L8" s="7"/>
      <c r="M8" s="54"/>
      <c r="N8" s="54"/>
      <c r="O8" s="54"/>
      <c r="P8" s="11"/>
      <c r="Q8" s="12"/>
      <c r="R8" s="11">
        <v>108</v>
      </c>
      <c r="S8" s="59"/>
    </row>
    <row r="9" spans="1:19" ht="23.25" customHeight="1" x14ac:dyDescent="0.25">
      <c r="A9" s="280">
        <v>0.5</v>
      </c>
      <c r="B9" s="30" t="str">
        <f t="shared" si="0"/>
        <v/>
      </c>
      <c r="C9" s="4"/>
      <c r="D9" s="5"/>
      <c r="E9" s="6"/>
      <c r="F9" s="33">
        <v>335</v>
      </c>
      <c r="G9" s="4">
        <v>10.46</v>
      </c>
      <c r="H9" s="4">
        <v>2.66</v>
      </c>
      <c r="I9" s="7">
        <v>3.69</v>
      </c>
      <c r="J9" s="8">
        <v>92.97</v>
      </c>
      <c r="K9" s="4">
        <v>57.04</v>
      </c>
      <c r="L9" s="7">
        <v>6.29</v>
      </c>
      <c r="M9" s="54">
        <v>0.4</v>
      </c>
      <c r="N9" s="54">
        <v>0.3</v>
      </c>
      <c r="O9" s="54">
        <v>0.3</v>
      </c>
      <c r="P9" s="11"/>
      <c r="Q9" s="12">
        <v>3</v>
      </c>
      <c r="R9" s="11">
        <v>110</v>
      </c>
      <c r="S9" s="59"/>
    </row>
    <row r="10" spans="1:19" ht="23.25" customHeight="1" x14ac:dyDescent="0.25">
      <c r="A10" s="280">
        <v>0.54166666666666696</v>
      </c>
      <c r="B10" s="30" t="str">
        <f t="shared" si="0"/>
        <v/>
      </c>
      <c r="C10" s="4"/>
      <c r="D10" s="5"/>
      <c r="E10" s="6"/>
      <c r="F10" s="33"/>
      <c r="G10" s="4"/>
      <c r="H10" s="4"/>
      <c r="I10" s="7"/>
      <c r="J10" s="8"/>
      <c r="K10" s="4"/>
      <c r="L10" s="7"/>
      <c r="M10" s="54"/>
      <c r="N10" s="54"/>
      <c r="O10" s="54"/>
      <c r="P10" s="11"/>
      <c r="Q10" s="12"/>
      <c r="R10" s="11">
        <v>111</v>
      </c>
      <c r="S10" s="59"/>
    </row>
    <row r="11" spans="1:19" ht="23.25" customHeight="1" x14ac:dyDescent="0.25">
      <c r="A11" s="280">
        <v>0.58333333333333304</v>
      </c>
      <c r="B11" s="30">
        <f t="shared" si="0"/>
        <v>90.8</v>
      </c>
      <c r="C11" s="4">
        <v>5.2</v>
      </c>
      <c r="D11" s="5">
        <v>4</v>
      </c>
      <c r="E11" s="6"/>
      <c r="F11" s="33">
        <v>337</v>
      </c>
      <c r="G11" s="4">
        <v>10.28</v>
      </c>
      <c r="H11" s="4">
        <v>2.91</v>
      </c>
      <c r="I11" s="7">
        <v>3.74</v>
      </c>
      <c r="J11" s="8">
        <v>92.9</v>
      </c>
      <c r="K11" s="4">
        <v>56.95</v>
      </c>
      <c r="L11" s="7">
        <v>6.36</v>
      </c>
      <c r="M11" s="54">
        <v>0.4</v>
      </c>
      <c r="N11" s="54">
        <v>0.3</v>
      </c>
      <c r="O11" s="54">
        <v>0.3</v>
      </c>
      <c r="P11" s="11"/>
      <c r="Q11" s="12">
        <v>3</v>
      </c>
      <c r="R11" s="11">
        <v>110</v>
      </c>
      <c r="S11" s="59" t="s">
        <v>86</v>
      </c>
    </row>
    <row r="12" spans="1:19" ht="23.25" customHeight="1" x14ac:dyDescent="0.25">
      <c r="A12" s="280">
        <v>0.625</v>
      </c>
      <c r="B12" s="30" t="str">
        <f t="shared" si="0"/>
        <v/>
      </c>
      <c r="C12" s="4"/>
      <c r="D12" s="5"/>
      <c r="E12" s="6"/>
      <c r="F12" s="33"/>
      <c r="G12" s="4"/>
      <c r="H12" s="4"/>
      <c r="I12" s="7"/>
      <c r="J12" s="8"/>
      <c r="K12" s="4"/>
      <c r="L12" s="7"/>
      <c r="M12" s="54"/>
      <c r="N12" s="54"/>
      <c r="O12" s="54"/>
      <c r="P12" s="11"/>
      <c r="Q12" s="12"/>
      <c r="R12" s="11">
        <v>111</v>
      </c>
      <c r="S12" s="59"/>
    </row>
    <row r="13" spans="1:19" ht="23.25" customHeight="1" x14ac:dyDescent="0.25">
      <c r="A13" s="280">
        <v>0.66666666666666696</v>
      </c>
      <c r="B13" s="30">
        <f t="shared" si="0"/>
        <v>91</v>
      </c>
      <c r="C13" s="4">
        <v>5</v>
      </c>
      <c r="D13" s="5">
        <v>4</v>
      </c>
      <c r="E13" s="6"/>
      <c r="F13" s="33">
        <v>335</v>
      </c>
      <c r="G13" s="4">
        <v>9.52</v>
      </c>
      <c r="H13" s="4">
        <v>2.85</v>
      </c>
      <c r="I13" s="7">
        <v>3.81</v>
      </c>
      <c r="J13" s="8">
        <v>92.83</v>
      </c>
      <c r="K13" s="4">
        <v>56.93</v>
      </c>
      <c r="L13" s="7">
        <v>6.46</v>
      </c>
      <c r="M13" s="54">
        <v>0.4</v>
      </c>
      <c r="N13" s="54">
        <v>0.3</v>
      </c>
      <c r="O13" s="54">
        <v>0.3</v>
      </c>
      <c r="P13" s="11"/>
      <c r="Q13" s="12">
        <v>3</v>
      </c>
      <c r="R13" s="11">
        <v>107</v>
      </c>
      <c r="S13" s="59"/>
    </row>
    <row r="14" spans="1:19" ht="23.25" customHeight="1" x14ac:dyDescent="0.25">
      <c r="A14" s="280">
        <v>0.70833333333333304</v>
      </c>
      <c r="B14" s="30" t="str">
        <f t="shared" si="0"/>
        <v/>
      </c>
      <c r="C14" s="4"/>
      <c r="D14" s="5"/>
      <c r="E14" s="6"/>
      <c r="F14" s="33"/>
      <c r="G14" s="4"/>
      <c r="H14" s="4"/>
      <c r="I14" s="7"/>
      <c r="J14" s="8"/>
      <c r="K14" s="4"/>
      <c r="L14" s="7"/>
      <c r="M14" s="54"/>
      <c r="N14" s="54"/>
      <c r="O14" s="54"/>
      <c r="P14" s="11"/>
      <c r="Q14" s="12"/>
      <c r="R14" s="11">
        <v>107</v>
      </c>
      <c r="S14" s="59"/>
    </row>
    <row r="15" spans="1:19" ht="23.25" customHeight="1" x14ac:dyDescent="0.25">
      <c r="A15" s="280">
        <v>0.75</v>
      </c>
      <c r="B15" s="30" t="str">
        <f t="shared" si="0"/>
        <v/>
      </c>
      <c r="C15" s="4"/>
      <c r="D15" s="5"/>
      <c r="E15" s="6"/>
      <c r="F15" s="33">
        <v>337</v>
      </c>
      <c r="G15" s="4">
        <v>9.9600000000000009</v>
      </c>
      <c r="H15" s="4">
        <v>2.81</v>
      </c>
      <c r="I15" s="7">
        <v>3.79</v>
      </c>
      <c r="J15" s="8">
        <v>92.82</v>
      </c>
      <c r="K15" s="4">
        <v>56.88</v>
      </c>
      <c r="L15" s="7">
        <v>6.44</v>
      </c>
      <c r="M15" s="54">
        <v>0.4</v>
      </c>
      <c r="N15" s="54">
        <v>0.3</v>
      </c>
      <c r="O15" s="54">
        <v>0.3</v>
      </c>
      <c r="P15" s="2"/>
      <c r="Q15" s="12">
        <v>3</v>
      </c>
      <c r="R15" s="11">
        <v>111</v>
      </c>
      <c r="S15" s="59"/>
    </row>
    <row r="16" spans="1:19" ht="23.25" customHeight="1" x14ac:dyDescent="0.25">
      <c r="A16" s="280">
        <v>0.79166666666666696</v>
      </c>
      <c r="B16" s="30" t="str">
        <f t="shared" si="0"/>
        <v/>
      </c>
      <c r="C16" s="4"/>
      <c r="D16" s="5"/>
      <c r="E16" s="6"/>
      <c r="F16" s="33"/>
      <c r="G16" s="4"/>
      <c r="H16" s="4"/>
      <c r="I16" s="7"/>
      <c r="J16" s="8"/>
      <c r="K16" s="4"/>
      <c r="L16" s="7"/>
      <c r="M16" s="54"/>
      <c r="N16" s="54"/>
      <c r="O16" s="54"/>
      <c r="P16" s="11"/>
      <c r="Q16" s="12"/>
      <c r="R16" s="11">
        <v>109</v>
      </c>
      <c r="S16" s="59"/>
    </row>
    <row r="17" spans="1:19" ht="23.25" customHeight="1" x14ac:dyDescent="0.25">
      <c r="A17" s="280">
        <v>0.83333333333333304</v>
      </c>
      <c r="B17" s="30">
        <f t="shared" si="0"/>
        <v>91.1</v>
      </c>
      <c r="C17" s="4">
        <v>4.9000000000000004</v>
      </c>
      <c r="D17" s="5">
        <v>4</v>
      </c>
      <c r="E17" s="6"/>
      <c r="F17" s="33">
        <v>335</v>
      </c>
      <c r="G17" s="4">
        <v>9.3800000000000008</v>
      </c>
      <c r="H17" s="4">
        <v>2.63</v>
      </c>
      <c r="I17" s="7">
        <v>3.77</v>
      </c>
      <c r="J17" s="8">
        <v>93.13</v>
      </c>
      <c r="K17" s="4">
        <v>57.21</v>
      </c>
      <c r="L17" s="7">
        <v>6.63</v>
      </c>
      <c r="M17" s="54">
        <v>0.4</v>
      </c>
      <c r="N17" s="54">
        <v>0.3</v>
      </c>
      <c r="O17" s="54">
        <v>0.3</v>
      </c>
      <c r="P17" s="11"/>
      <c r="Q17" s="12">
        <v>3</v>
      </c>
      <c r="R17" s="11">
        <v>109</v>
      </c>
      <c r="S17" s="59"/>
    </row>
    <row r="18" spans="1:19" ht="23.25" customHeight="1" x14ac:dyDescent="0.25">
      <c r="A18" s="280">
        <v>0.875</v>
      </c>
      <c r="B18" s="30" t="str">
        <f t="shared" si="0"/>
        <v/>
      </c>
      <c r="C18" s="4"/>
      <c r="D18" s="5"/>
      <c r="E18" s="6"/>
      <c r="F18" s="33"/>
      <c r="G18" s="4"/>
      <c r="H18" s="4"/>
      <c r="I18" s="7"/>
      <c r="J18" s="8"/>
      <c r="K18" s="4"/>
      <c r="L18" s="7"/>
      <c r="M18" s="54"/>
      <c r="N18" s="54"/>
      <c r="O18" s="54"/>
      <c r="P18" s="11"/>
      <c r="Q18" s="12"/>
      <c r="R18" s="13">
        <v>110</v>
      </c>
      <c r="S18" s="59"/>
    </row>
    <row r="19" spans="1:19" ht="23.25" customHeight="1" x14ac:dyDescent="0.25">
      <c r="A19" s="280">
        <v>0.91666666666666696</v>
      </c>
      <c r="B19" s="30" t="str">
        <f t="shared" si="0"/>
        <v/>
      </c>
      <c r="C19" s="4"/>
      <c r="D19" s="5"/>
      <c r="E19" s="6"/>
      <c r="F19" s="33">
        <v>332</v>
      </c>
      <c r="G19" s="4">
        <v>9.86</v>
      </c>
      <c r="H19" s="4">
        <v>2.57</v>
      </c>
      <c r="I19" s="7">
        <v>3.77</v>
      </c>
      <c r="J19" s="8">
        <v>92.53</v>
      </c>
      <c r="K19" s="4">
        <v>56.67</v>
      </c>
      <c r="L19" s="7">
        <v>6.69</v>
      </c>
      <c r="M19" s="54">
        <v>0.4</v>
      </c>
      <c r="N19" s="54">
        <v>0.3</v>
      </c>
      <c r="O19" s="54">
        <v>0.3</v>
      </c>
      <c r="P19" s="2"/>
      <c r="Q19" s="12">
        <v>3</v>
      </c>
      <c r="R19" s="11">
        <v>107</v>
      </c>
      <c r="S19" s="59"/>
    </row>
    <row r="20" spans="1:19" ht="23.25" customHeight="1" x14ac:dyDescent="0.25">
      <c r="A20" s="280">
        <v>0.95833333333333304</v>
      </c>
      <c r="B20" s="30" t="str">
        <f t="shared" si="0"/>
        <v/>
      </c>
      <c r="C20" s="4"/>
      <c r="D20" s="5"/>
      <c r="E20" s="6"/>
      <c r="F20" s="33"/>
      <c r="G20" s="4"/>
      <c r="H20" s="4"/>
      <c r="I20" s="7"/>
      <c r="J20" s="8"/>
      <c r="K20" s="4"/>
      <c r="L20" s="7"/>
      <c r="M20" s="54"/>
      <c r="N20" s="54"/>
      <c r="O20" s="54"/>
      <c r="P20" s="2"/>
      <c r="Q20" s="12"/>
      <c r="R20" s="11">
        <v>115</v>
      </c>
      <c r="S20" s="59"/>
    </row>
    <row r="21" spans="1:19" ht="23.25" customHeight="1" x14ac:dyDescent="0.25">
      <c r="A21" s="280">
        <v>1</v>
      </c>
      <c r="B21" s="30">
        <f t="shared" si="0"/>
        <v>90.9</v>
      </c>
      <c r="C21" s="4">
        <v>5.0999999999999996</v>
      </c>
      <c r="D21" s="5">
        <v>4</v>
      </c>
      <c r="E21" s="6"/>
      <c r="F21" s="33">
        <v>341</v>
      </c>
      <c r="G21" s="4">
        <v>9.82</v>
      </c>
      <c r="H21" s="4">
        <v>2.63</v>
      </c>
      <c r="I21" s="7">
        <v>3.8</v>
      </c>
      <c r="J21" s="8">
        <v>93.2</v>
      </c>
      <c r="K21" s="4">
        <v>57.32</v>
      </c>
      <c r="L21" s="7">
        <v>6.78</v>
      </c>
      <c r="M21" s="54">
        <v>0.4</v>
      </c>
      <c r="N21" s="54">
        <v>0.3</v>
      </c>
      <c r="O21" s="54">
        <v>0.3</v>
      </c>
      <c r="P21" s="2"/>
      <c r="Q21" s="12">
        <v>3</v>
      </c>
      <c r="R21" s="11">
        <v>115</v>
      </c>
      <c r="S21" s="59"/>
    </row>
    <row r="22" spans="1:19" ht="23.25" customHeight="1" x14ac:dyDescent="0.25">
      <c r="A22" s="280">
        <v>1.0416666666666701</v>
      </c>
      <c r="B22" s="30" t="str">
        <f t="shared" si="0"/>
        <v/>
      </c>
      <c r="C22" s="4"/>
      <c r="D22" s="5"/>
      <c r="E22" s="6"/>
      <c r="F22" s="33"/>
      <c r="G22" s="4"/>
      <c r="H22" s="4"/>
      <c r="I22" s="7"/>
      <c r="J22" s="8"/>
      <c r="K22" s="4"/>
      <c r="L22" s="7"/>
      <c r="M22" s="54"/>
      <c r="N22" s="54"/>
      <c r="O22" s="54"/>
      <c r="P22" s="2"/>
      <c r="Q22" s="12"/>
      <c r="R22" s="11">
        <v>111</v>
      </c>
      <c r="S22" s="59"/>
    </row>
    <row r="23" spans="1:19" ht="23.25" customHeight="1" x14ac:dyDescent="0.25">
      <c r="A23" s="280">
        <v>1.0833333333333299</v>
      </c>
      <c r="B23" s="30" t="str">
        <f t="shared" si="0"/>
        <v/>
      </c>
      <c r="C23" s="4"/>
      <c r="D23" s="5"/>
      <c r="E23" s="6"/>
      <c r="F23" s="33">
        <v>339</v>
      </c>
      <c r="G23" s="4">
        <v>8.86</v>
      </c>
      <c r="H23" s="4">
        <v>2.62</v>
      </c>
      <c r="I23" s="7">
        <v>3.82</v>
      </c>
      <c r="J23" s="8">
        <v>92.93</v>
      </c>
      <c r="K23" s="4">
        <v>57.02</v>
      </c>
      <c r="L23" s="7">
        <v>6.85</v>
      </c>
      <c r="M23" s="54">
        <v>0.4</v>
      </c>
      <c r="N23" s="54">
        <v>0.3</v>
      </c>
      <c r="O23" s="54">
        <v>0.3</v>
      </c>
      <c r="P23" s="2"/>
      <c r="Q23" s="12">
        <v>3</v>
      </c>
      <c r="R23" s="11">
        <v>111</v>
      </c>
      <c r="S23" s="59"/>
    </row>
    <row r="24" spans="1:19" ht="23.25" customHeight="1" x14ac:dyDescent="0.25">
      <c r="A24" s="280">
        <v>1.125</v>
      </c>
      <c r="B24" s="30" t="str">
        <f t="shared" si="0"/>
        <v/>
      </c>
      <c r="C24" s="4"/>
      <c r="D24" s="5"/>
      <c r="E24" s="6"/>
      <c r="F24" s="33"/>
      <c r="G24" s="4"/>
      <c r="H24" s="4"/>
      <c r="I24" s="7"/>
      <c r="J24" s="8"/>
      <c r="K24" s="4"/>
      <c r="L24" s="7"/>
      <c r="M24" s="54"/>
      <c r="N24" s="54"/>
      <c r="O24" s="54"/>
      <c r="P24" s="2"/>
      <c r="Q24" s="12"/>
      <c r="R24" s="11">
        <v>111</v>
      </c>
      <c r="S24" s="59"/>
    </row>
    <row r="25" spans="1:19" ht="23.25" customHeight="1" x14ac:dyDescent="0.25">
      <c r="A25" s="280">
        <v>1.1666666666666701</v>
      </c>
      <c r="B25" s="30">
        <f t="shared" si="0"/>
        <v>90.7</v>
      </c>
      <c r="C25" s="4">
        <v>5.3</v>
      </c>
      <c r="D25" s="5">
        <v>4</v>
      </c>
      <c r="E25" s="6"/>
      <c r="F25" s="33">
        <v>341</v>
      </c>
      <c r="G25" s="4">
        <v>9.02</v>
      </c>
      <c r="H25" s="4">
        <v>2.63</v>
      </c>
      <c r="I25" s="7">
        <v>3.66</v>
      </c>
      <c r="J25" s="8">
        <v>92.81</v>
      </c>
      <c r="K25" s="4">
        <v>56.94</v>
      </c>
      <c r="L25" s="7">
        <v>6.79</v>
      </c>
      <c r="M25" s="54">
        <v>0.4</v>
      </c>
      <c r="N25" s="54">
        <v>0.3</v>
      </c>
      <c r="O25" s="54">
        <v>0.3</v>
      </c>
      <c r="P25" s="2"/>
      <c r="Q25" s="12">
        <v>3</v>
      </c>
      <c r="R25" s="11">
        <v>130</v>
      </c>
      <c r="S25" s="59" t="s">
        <v>84</v>
      </c>
    </row>
    <row r="26" spans="1:19" ht="23.25" customHeight="1" x14ac:dyDescent="0.25">
      <c r="A26" s="280">
        <v>1.2083333333333299</v>
      </c>
      <c r="B26" s="30" t="str">
        <f t="shared" si="0"/>
        <v/>
      </c>
      <c r="C26" s="4"/>
      <c r="D26" s="5"/>
      <c r="E26" s="6"/>
      <c r="F26" s="34"/>
      <c r="G26" s="4"/>
      <c r="H26" s="4"/>
      <c r="I26" s="7"/>
      <c r="J26" s="8"/>
      <c r="K26" s="4"/>
      <c r="L26" s="7"/>
      <c r="M26" s="9"/>
      <c r="N26" s="10"/>
      <c r="O26" s="10"/>
      <c r="P26" s="11"/>
      <c r="Q26" s="12"/>
      <c r="R26" s="11"/>
      <c r="S26" s="59"/>
    </row>
    <row r="27" spans="1:19" ht="23.25" customHeight="1" thickBot="1" x14ac:dyDescent="0.3">
      <c r="A27" s="281">
        <v>1.25</v>
      </c>
      <c r="B27" s="30" t="str">
        <f t="shared" si="0"/>
        <v/>
      </c>
      <c r="C27" s="14"/>
      <c r="D27" s="15"/>
      <c r="E27" s="16"/>
      <c r="F27" s="35"/>
      <c r="G27" s="14"/>
      <c r="H27" s="14"/>
      <c r="I27" s="17"/>
      <c r="J27" s="18"/>
      <c r="K27" s="14"/>
      <c r="L27" s="17"/>
      <c r="M27" s="19"/>
      <c r="N27" s="20"/>
      <c r="O27" s="20"/>
      <c r="P27" s="21"/>
      <c r="Q27" s="22"/>
      <c r="R27" s="21"/>
      <c r="S27" s="60"/>
    </row>
    <row r="28" spans="1:19" ht="23.25" customHeight="1" thickTop="1" x14ac:dyDescent="0.25">
      <c r="A28" s="282" t="s">
        <v>46</v>
      </c>
      <c r="B28" s="283">
        <f t="shared" ref="B28:L28" si="1">MIN(B4:B27)</f>
        <v>90.7</v>
      </c>
      <c r="C28" s="284">
        <f t="shared" si="1"/>
        <v>4.9000000000000004</v>
      </c>
      <c r="D28" s="285">
        <f t="shared" si="1"/>
        <v>4</v>
      </c>
      <c r="E28" s="283">
        <f t="shared" si="1"/>
        <v>0</v>
      </c>
      <c r="F28" s="286">
        <f t="shared" si="1"/>
        <v>332</v>
      </c>
      <c r="G28" s="284">
        <f t="shared" si="1"/>
        <v>8.86</v>
      </c>
      <c r="H28" s="284">
        <f t="shared" si="1"/>
        <v>2.57</v>
      </c>
      <c r="I28" s="285">
        <f t="shared" si="1"/>
        <v>3.66</v>
      </c>
      <c r="J28" s="283">
        <f t="shared" si="1"/>
        <v>92.53</v>
      </c>
      <c r="K28" s="284">
        <f t="shared" si="1"/>
        <v>56.67</v>
      </c>
      <c r="L28" s="285">
        <f t="shared" si="1"/>
        <v>6.29</v>
      </c>
      <c r="M28" s="283"/>
      <c r="N28" s="284"/>
      <c r="O28" s="284"/>
      <c r="P28" s="285"/>
      <c r="Q28" s="287"/>
      <c r="R28" s="288">
        <f t="shared" ref="R28" si="2">MIN(R4:R27)</f>
        <v>107</v>
      </c>
      <c r="S28" s="289"/>
    </row>
    <row r="29" spans="1:19" ht="23.25" customHeight="1" x14ac:dyDescent="0.25">
      <c r="A29" s="290" t="s">
        <v>47</v>
      </c>
      <c r="B29" s="291">
        <f t="shared" ref="B29:L29" si="3">MAX(B4:B27)</f>
        <v>91.1</v>
      </c>
      <c r="C29" s="292">
        <f t="shared" si="3"/>
        <v>5.3</v>
      </c>
      <c r="D29" s="293">
        <f t="shared" si="3"/>
        <v>4</v>
      </c>
      <c r="E29" s="291">
        <f t="shared" si="3"/>
        <v>0</v>
      </c>
      <c r="F29" s="294">
        <f t="shared" si="3"/>
        <v>341</v>
      </c>
      <c r="G29" s="292">
        <f t="shared" si="3"/>
        <v>10.46</v>
      </c>
      <c r="H29" s="292">
        <f t="shared" si="3"/>
        <v>2.91</v>
      </c>
      <c r="I29" s="293">
        <f t="shared" si="3"/>
        <v>3.82</v>
      </c>
      <c r="J29" s="291">
        <f t="shared" si="3"/>
        <v>93.2</v>
      </c>
      <c r="K29" s="292">
        <f t="shared" si="3"/>
        <v>57.32</v>
      </c>
      <c r="L29" s="293">
        <f t="shared" si="3"/>
        <v>6.85</v>
      </c>
      <c r="M29" s="291"/>
      <c r="N29" s="292"/>
      <c r="O29" s="292"/>
      <c r="P29" s="293"/>
      <c r="Q29" s="295"/>
      <c r="R29" s="296">
        <f t="shared" ref="R29" si="4">MAX(R4:R27)</f>
        <v>130</v>
      </c>
      <c r="S29" s="297"/>
    </row>
    <row r="30" spans="1:19" ht="23.25" customHeight="1" x14ac:dyDescent="0.25">
      <c r="A30" s="290" t="s">
        <v>10</v>
      </c>
      <c r="B30" s="291">
        <f t="shared" ref="B30:L30" si="5">AVERAGE(B4:B27)</f>
        <v>90.899999999999991</v>
      </c>
      <c r="C30" s="292">
        <f t="shared" si="5"/>
        <v>5.1000000000000005</v>
      </c>
      <c r="D30" s="293">
        <f t="shared" si="5"/>
        <v>4</v>
      </c>
      <c r="E30" s="291" t="e">
        <f t="shared" si="5"/>
        <v>#DIV/0!</v>
      </c>
      <c r="F30" s="294">
        <f t="shared" si="5"/>
        <v>337.09090909090907</v>
      </c>
      <c r="G30" s="292">
        <f t="shared" si="5"/>
        <v>9.7636363636363637</v>
      </c>
      <c r="H30" s="292">
        <f t="shared" si="5"/>
        <v>2.7172727272727268</v>
      </c>
      <c r="I30" s="293">
        <f t="shared" si="5"/>
        <v>3.7627272727272727</v>
      </c>
      <c r="J30" s="291">
        <f t="shared" si="5"/>
        <v>92.907272727272726</v>
      </c>
      <c r="K30" s="292">
        <f t="shared" si="5"/>
        <v>56.991818181818189</v>
      </c>
      <c r="L30" s="293">
        <f t="shared" si="5"/>
        <v>6.5563636363636366</v>
      </c>
      <c r="M30" s="291"/>
      <c r="N30" s="292"/>
      <c r="O30" s="292"/>
      <c r="P30" s="293"/>
      <c r="Q30" s="295"/>
      <c r="R30" s="296">
        <f t="shared" ref="R30" si="6">AVERAGE(R4:R27)</f>
        <v>111.18181818181819</v>
      </c>
      <c r="S30" s="297"/>
    </row>
    <row r="31" spans="1:19" ht="23.25" customHeight="1" thickBot="1" x14ac:dyDescent="0.3">
      <c r="A31" s="298" t="s">
        <v>48</v>
      </c>
      <c r="B31" s="299">
        <f t="shared" ref="B31:L31" si="7">STDEV(B4:B27)</f>
        <v>0.14142135623730751</v>
      </c>
      <c r="C31" s="300">
        <f t="shared" si="7"/>
        <v>0.14142135623730939</v>
      </c>
      <c r="D31" s="301">
        <f t="shared" si="7"/>
        <v>0</v>
      </c>
      <c r="E31" s="299" t="e">
        <f t="shared" si="7"/>
        <v>#DIV/0!</v>
      </c>
      <c r="F31" s="299">
        <f t="shared" si="7"/>
        <v>2.7732488332115262</v>
      </c>
      <c r="G31" s="300">
        <f t="shared" si="7"/>
        <v>0.51805931566323049</v>
      </c>
      <c r="H31" s="300">
        <f t="shared" si="7"/>
        <v>0.11463776943842806</v>
      </c>
      <c r="I31" s="301">
        <f t="shared" si="7"/>
        <v>5.236237372215069E-2</v>
      </c>
      <c r="J31" s="299">
        <f t="shared" si="7"/>
        <v>0.17703620585015384</v>
      </c>
      <c r="K31" s="300">
        <f t="shared" si="7"/>
        <v>0.17162856299684948</v>
      </c>
      <c r="L31" s="301">
        <f t="shared" si="7"/>
        <v>0.19719395159450132</v>
      </c>
      <c r="M31" s="299"/>
      <c r="N31" s="300"/>
      <c r="O31" s="300"/>
      <c r="P31" s="301"/>
      <c r="Q31" s="302"/>
      <c r="R31" s="301">
        <f t="shared" ref="R31" si="8">STDEV(R4:R27)</f>
        <v>4.6968719442418339</v>
      </c>
      <c r="S31" s="303"/>
    </row>
  </sheetData>
  <mergeCells count="13">
    <mergeCell ref="S1:S2"/>
    <mergeCell ref="K1:K2"/>
    <mergeCell ref="L1:L2"/>
    <mergeCell ref="M1:P1"/>
    <mergeCell ref="Q1:Q2"/>
    <mergeCell ref="R1:R2"/>
    <mergeCell ref="I1:I2"/>
    <mergeCell ref="J1:J2"/>
    <mergeCell ref="A1:A2"/>
    <mergeCell ref="B1:E1"/>
    <mergeCell ref="F1:F2"/>
    <mergeCell ref="G1:G2"/>
    <mergeCell ref="H1:H2"/>
  </mergeCells>
  <printOptions horizontalCentered="1"/>
  <pageMargins left="0" right="0" top="0" bottom="0" header="0.3" footer="0.3"/>
  <pageSetup paperSize="9" scale="67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S32"/>
  <sheetViews>
    <sheetView tabSelected="1" zoomScale="85" zoomScaleNormal="85" workbookViewId="0">
      <selection activeCell="S4" sqref="S4"/>
    </sheetView>
  </sheetViews>
  <sheetFormatPr defaultRowHeight="15" x14ac:dyDescent="0.25"/>
  <cols>
    <col min="1" max="4" width="9.140625" style="70"/>
    <col min="5" max="5" width="9.140625" style="70" hidden="1" customWidth="1"/>
    <col min="6" max="12" width="9.140625" style="70"/>
    <col min="13" max="16" width="8" style="70" customWidth="1"/>
    <col min="17" max="17" width="9.7109375" style="70" customWidth="1"/>
    <col min="18" max="18" width="10" style="70" customWidth="1"/>
    <col min="19" max="19" width="23.28515625" style="70" customWidth="1"/>
    <col min="20" max="16384" width="9.140625" style="70"/>
  </cols>
  <sheetData>
    <row r="1" spans="1:19" ht="18.75" customHeight="1" x14ac:dyDescent="0.25">
      <c r="A1" s="246" t="s">
        <v>0</v>
      </c>
      <c r="B1" s="247" t="s">
        <v>19</v>
      </c>
      <c r="C1" s="248"/>
      <c r="D1" s="248"/>
      <c r="E1" s="249"/>
      <c r="F1" s="250" t="s">
        <v>53</v>
      </c>
      <c r="G1" s="251" t="s">
        <v>52</v>
      </c>
      <c r="H1" s="252" t="s">
        <v>54</v>
      </c>
      <c r="I1" s="253" t="s">
        <v>51</v>
      </c>
      <c r="J1" s="254" t="s">
        <v>4</v>
      </c>
      <c r="K1" s="252" t="s">
        <v>50</v>
      </c>
      <c r="L1" s="253" t="s">
        <v>49</v>
      </c>
      <c r="M1" s="255" t="s">
        <v>39</v>
      </c>
      <c r="N1" s="256"/>
      <c r="O1" s="256"/>
      <c r="P1" s="257"/>
      <c r="Q1" s="258" t="s">
        <v>55</v>
      </c>
      <c r="R1" s="253" t="s">
        <v>56</v>
      </c>
      <c r="S1" s="259" t="s">
        <v>8</v>
      </c>
    </row>
    <row r="2" spans="1:19" ht="32.25" thickBot="1" x14ac:dyDescent="0.3">
      <c r="A2" s="260"/>
      <c r="B2" s="261" t="s">
        <v>20</v>
      </c>
      <c r="C2" s="262" t="s">
        <v>24</v>
      </c>
      <c r="D2" s="262" t="s">
        <v>11</v>
      </c>
      <c r="E2" s="263" t="s">
        <v>26</v>
      </c>
      <c r="F2" s="264"/>
      <c r="G2" s="265"/>
      <c r="H2" s="266"/>
      <c r="I2" s="267"/>
      <c r="J2" s="268"/>
      <c r="K2" s="266"/>
      <c r="L2" s="267"/>
      <c r="M2" s="261">
        <v>1</v>
      </c>
      <c r="N2" s="262">
        <v>2</v>
      </c>
      <c r="O2" s="262" t="s">
        <v>40</v>
      </c>
      <c r="P2" s="263" t="s">
        <v>41</v>
      </c>
      <c r="Q2" s="269"/>
      <c r="R2" s="267"/>
      <c r="S2" s="270"/>
    </row>
    <row r="3" spans="1:19" ht="38.25" customHeight="1" thickBot="1" x14ac:dyDescent="0.3">
      <c r="A3" s="271" t="s">
        <v>60</v>
      </c>
      <c r="B3" s="272"/>
      <c r="C3" s="273"/>
      <c r="D3" s="274"/>
      <c r="E3" s="275"/>
      <c r="F3" s="272" t="s">
        <v>62</v>
      </c>
      <c r="G3" s="82" t="s">
        <v>64</v>
      </c>
      <c r="H3" s="273" t="s">
        <v>81</v>
      </c>
      <c r="I3" s="275" t="s">
        <v>63</v>
      </c>
      <c r="J3" s="272"/>
      <c r="K3" s="273"/>
      <c r="L3" s="275"/>
      <c r="M3" s="276"/>
      <c r="N3" s="273"/>
      <c r="O3" s="273"/>
      <c r="P3" s="275"/>
      <c r="Q3" s="276"/>
      <c r="R3" s="275" t="s">
        <v>65</v>
      </c>
      <c r="S3" s="277"/>
    </row>
    <row r="4" spans="1:19" ht="23.25" customHeight="1" thickTop="1" x14ac:dyDescent="0.25">
      <c r="A4" s="278">
        <v>0.29166666666666669</v>
      </c>
      <c r="B4" s="47" t="str">
        <f>IF(C4="","",100-(C4+D4))</f>
        <v/>
      </c>
      <c r="C4" s="4"/>
      <c r="D4" s="6"/>
      <c r="E4" s="23"/>
      <c r="F4" s="33"/>
      <c r="G4" s="4"/>
      <c r="H4" s="4"/>
      <c r="I4" s="7"/>
      <c r="J4" s="8"/>
      <c r="K4" s="4"/>
      <c r="L4" s="7"/>
      <c r="M4" s="9"/>
      <c r="N4" s="10"/>
      <c r="O4" s="1"/>
      <c r="P4" s="2"/>
      <c r="Q4" s="12"/>
      <c r="R4" s="3"/>
      <c r="S4" s="58"/>
    </row>
    <row r="5" spans="1:19" ht="23.25" customHeight="1" x14ac:dyDescent="0.25">
      <c r="A5" s="280">
        <v>0.33333333333333298</v>
      </c>
      <c r="B5" s="30" t="str">
        <f>IF(C5="","",100-(C5+D5))</f>
        <v/>
      </c>
      <c r="C5" s="4"/>
      <c r="D5" s="5"/>
      <c r="E5" s="6"/>
      <c r="F5" s="33"/>
      <c r="G5" s="4"/>
      <c r="H5" s="4"/>
      <c r="I5" s="7"/>
      <c r="J5" s="8"/>
      <c r="K5" s="4"/>
      <c r="L5" s="7"/>
      <c r="M5" s="54"/>
      <c r="N5" s="54"/>
      <c r="O5" s="54"/>
      <c r="P5" s="11"/>
      <c r="Q5" s="12"/>
      <c r="R5" s="11"/>
      <c r="S5" s="59"/>
    </row>
    <row r="6" spans="1:19" ht="23.25" customHeight="1" x14ac:dyDescent="0.25">
      <c r="A6" s="280">
        <v>0.375</v>
      </c>
      <c r="B6" s="30" t="str">
        <f t="shared" ref="B6:B27" si="0">IF(C6="","",100-(C6+D6))</f>
        <v/>
      </c>
      <c r="C6" s="4"/>
      <c r="D6" s="5"/>
      <c r="E6" s="6"/>
      <c r="F6" s="33"/>
      <c r="G6" s="4"/>
      <c r="H6" s="4"/>
      <c r="I6" s="7"/>
      <c r="J6" s="8"/>
      <c r="K6" s="4"/>
      <c r="L6" s="7"/>
      <c r="M6" s="54"/>
      <c r="N6" s="54"/>
      <c r="O6" s="1"/>
      <c r="P6" s="11"/>
      <c r="Q6" s="12"/>
      <c r="R6" s="11">
        <v>104</v>
      </c>
      <c r="S6" s="59"/>
    </row>
    <row r="7" spans="1:19" ht="23.25" customHeight="1" x14ac:dyDescent="0.25">
      <c r="A7" s="280">
        <v>0.41666666666666702</v>
      </c>
      <c r="B7" s="30">
        <f t="shared" si="0"/>
        <v>90.1</v>
      </c>
      <c r="C7" s="4">
        <v>5.9</v>
      </c>
      <c r="D7" s="5">
        <v>4</v>
      </c>
      <c r="E7" s="6"/>
      <c r="F7" s="33">
        <v>335</v>
      </c>
      <c r="G7" s="4">
        <v>11.43</v>
      </c>
      <c r="H7" s="4">
        <v>2.81</v>
      </c>
      <c r="I7" s="7">
        <v>3.79</v>
      </c>
      <c r="J7" s="8">
        <v>92.55</v>
      </c>
      <c r="K7" s="4">
        <v>56.7</v>
      </c>
      <c r="L7" s="7">
        <v>6.6</v>
      </c>
      <c r="M7" s="54">
        <v>0.4</v>
      </c>
      <c r="N7" s="54">
        <v>0.3</v>
      </c>
      <c r="O7" s="54">
        <v>0.3</v>
      </c>
      <c r="P7" s="11"/>
      <c r="Q7" s="12">
        <v>2</v>
      </c>
      <c r="R7" s="11">
        <v>109</v>
      </c>
      <c r="S7" s="59" t="s">
        <v>82</v>
      </c>
    </row>
    <row r="8" spans="1:19" ht="23.25" customHeight="1" x14ac:dyDescent="0.25">
      <c r="A8" s="280">
        <v>0.45833333333333298</v>
      </c>
      <c r="B8" s="30" t="str">
        <f t="shared" si="0"/>
        <v/>
      </c>
      <c r="C8" s="4"/>
      <c r="D8" s="5"/>
      <c r="E8" s="6"/>
      <c r="F8" s="33"/>
      <c r="G8" s="4"/>
      <c r="H8" s="4"/>
      <c r="I8" s="7"/>
      <c r="J8" s="8"/>
      <c r="K8" s="4"/>
      <c r="L8" s="7"/>
      <c r="M8" s="54"/>
      <c r="N8" s="54"/>
      <c r="O8" s="54"/>
      <c r="P8" s="11"/>
      <c r="Q8" s="12"/>
      <c r="R8" s="11">
        <v>108</v>
      </c>
      <c r="S8" s="59"/>
    </row>
    <row r="9" spans="1:19" ht="23.25" customHeight="1" x14ac:dyDescent="0.25">
      <c r="A9" s="280">
        <v>0.5</v>
      </c>
      <c r="B9" s="30">
        <f t="shared" si="0"/>
        <v>90.2</v>
      </c>
      <c r="C9" s="4">
        <v>5.8</v>
      </c>
      <c r="D9" s="5">
        <v>4</v>
      </c>
      <c r="E9" s="6"/>
      <c r="F9" s="33">
        <v>337</v>
      </c>
      <c r="G9" s="4">
        <v>11.36</v>
      </c>
      <c r="H9" s="4">
        <v>2.84</v>
      </c>
      <c r="I9" s="7">
        <v>3.83</v>
      </c>
      <c r="J9" s="8">
        <v>92.71</v>
      </c>
      <c r="K9" s="4">
        <v>56.8</v>
      </c>
      <c r="L9" s="7">
        <v>6.67</v>
      </c>
      <c r="M9" s="54">
        <v>0.4</v>
      </c>
      <c r="N9" s="54">
        <v>0.3</v>
      </c>
      <c r="O9" s="54">
        <v>0.3</v>
      </c>
      <c r="P9" s="11"/>
      <c r="Q9" s="12">
        <v>2</v>
      </c>
      <c r="R9" s="11">
        <v>109</v>
      </c>
      <c r="S9" s="59"/>
    </row>
    <row r="10" spans="1:19" ht="23.25" customHeight="1" x14ac:dyDescent="0.25">
      <c r="A10" s="280">
        <v>0.54166666666666696</v>
      </c>
      <c r="B10" s="30" t="str">
        <f t="shared" si="0"/>
        <v/>
      </c>
      <c r="C10" s="4"/>
      <c r="D10" s="5"/>
      <c r="E10" s="6"/>
      <c r="F10" s="33"/>
      <c r="G10" s="4"/>
      <c r="H10" s="4"/>
      <c r="I10" s="7"/>
      <c r="J10" s="8"/>
      <c r="K10" s="4"/>
      <c r="L10" s="7"/>
      <c r="M10" s="54"/>
      <c r="N10" s="54"/>
      <c r="O10" s="54"/>
      <c r="P10" s="11"/>
      <c r="Q10" s="12"/>
      <c r="R10" s="11">
        <v>109</v>
      </c>
      <c r="S10" s="59"/>
    </row>
    <row r="11" spans="1:19" ht="23.25" customHeight="1" x14ac:dyDescent="0.25">
      <c r="A11" s="280">
        <v>0.58333333333333304</v>
      </c>
      <c r="B11" s="30">
        <f t="shared" si="0"/>
        <v>90.4</v>
      </c>
      <c r="C11" s="4">
        <v>5.6</v>
      </c>
      <c r="D11" s="5">
        <v>4</v>
      </c>
      <c r="E11" s="6"/>
      <c r="F11" s="33">
        <v>339</v>
      </c>
      <c r="G11" s="4">
        <v>10.83</v>
      </c>
      <c r="H11" s="4">
        <v>2.79</v>
      </c>
      <c r="I11" s="7">
        <v>3.76</v>
      </c>
      <c r="J11" s="8">
        <v>93.07</v>
      </c>
      <c r="K11" s="4">
        <v>57.12</v>
      </c>
      <c r="L11" s="7">
        <v>6.57</v>
      </c>
      <c r="M11" s="54">
        <v>0.4</v>
      </c>
      <c r="N11" s="54">
        <v>0.3</v>
      </c>
      <c r="O11" s="54">
        <v>0.3</v>
      </c>
      <c r="P11" s="11"/>
      <c r="Q11" s="12">
        <v>2</v>
      </c>
      <c r="R11" s="11">
        <v>110</v>
      </c>
      <c r="S11" s="59"/>
    </row>
    <row r="12" spans="1:19" ht="23.25" customHeight="1" x14ac:dyDescent="0.25">
      <c r="A12" s="280">
        <v>0.625</v>
      </c>
      <c r="B12" s="30" t="str">
        <f t="shared" si="0"/>
        <v/>
      </c>
      <c r="C12" s="4"/>
      <c r="D12" s="5"/>
      <c r="E12" s="6"/>
      <c r="F12" s="33"/>
      <c r="G12" s="4"/>
      <c r="H12" s="4"/>
      <c r="I12" s="7"/>
      <c r="J12" s="8"/>
      <c r="K12" s="4"/>
      <c r="L12" s="7"/>
      <c r="M12" s="54"/>
      <c r="N12" s="54"/>
      <c r="O12" s="54"/>
      <c r="P12" s="11"/>
      <c r="Q12" s="12"/>
      <c r="R12" s="11">
        <v>109</v>
      </c>
      <c r="S12" s="59"/>
    </row>
    <row r="13" spans="1:19" ht="23.25" customHeight="1" x14ac:dyDescent="0.25">
      <c r="A13" s="280">
        <v>0.66666666666666696</v>
      </c>
      <c r="B13" s="30" t="str">
        <f t="shared" si="0"/>
        <v/>
      </c>
      <c r="C13" s="4"/>
      <c r="D13" s="5"/>
      <c r="E13" s="6"/>
      <c r="F13" s="33">
        <v>341</v>
      </c>
      <c r="G13" s="4">
        <v>10.88</v>
      </c>
      <c r="H13" s="4">
        <v>2.82</v>
      </c>
      <c r="I13" s="7">
        <v>3.72</v>
      </c>
      <c r="J13" s="8">
        <v>93.16</v>
      </c>
      <c r="K13" s="4">
        <v>57.23</v>
      </c>
      <c r="L13" s="7">
        <v>6.57</v>
      </c>
      <c r="M13" s="54">
        <v>0.4</v>
      </c>
      <c r="N13" s="54">
        <v>0.3</v>
      </c>
      <c r="O13" s="54">
        <v>0.3</v>
      </c>
      <c r="P13" s="11"/>
      <c r="Q13" s="12">
        <v>2</v>
      </c>
      <c r="R13" s="11">
        <v>109</v>
      </c>
      <c r="S13" s="59"/>
    </row>
    <row r="14" spans="1:19" ht="23.25" customHeight="1" x14ac:dyDescent="0.25">
      <c r="A14" s="280">
        <v>0.70833333333333304</v>
      </c>
      <c r="B14" s="30" t="str">
        <f t="shared" si="0"/>
        <v/>
      </c>
      <c r="C14" s="4"/>
      <c r="D14" s="5"/>
      <c r="E14" s="6"/>
      <c r="F14" s="33"/>
      <c r="G14" s="4"/>
      <c r="H14" s="4"/>
      <c r="I14" s="7"/>
      <c r="J14" s="8"/>
      <c r="K14" s="4"/>
      <c r="L14" s="7"/>
      <c r="M14" s="54"/>
      <c r="N14" s="54"/>
      <c r="O14" s="54"/>
      <c r="P14" s="11"/>
      <c r="Q14" s="12"/>
      <c r="R14" s="11">
        <v>111</v>
      </c>
      <c r="S14" s="59"/>
    </row>
    <row r="15" spans="1:19" ht="23.25" customHeight="1" x14ac:dyDescent="0.25">
      <c r="A15" s="280">
        <v>0.75</v>
      </c>
      <c r="B15" s="30" t="str">
        <f t="shared" si="0"/>
        <v/>
      </c>
      <c r="C15" s="4"/>
      <c r="D15" s="5"/>
      <c r="E15" s="6"/>
      <c r="F15" s="33">
        <v>339</v>
      </c>
      <c r="G15" s="4">
        <v>10.72</v>
      </c>
      <c r="H15" s="4">
        <v>2.82</v>
      </c>
      <c r="I15" s="7">
        <v>3.71</v>
      </c>
      <c r="J15" s="8">
        <v>92.99</v>
      </c>
      <c r="K15" s="4">
        <v>57.08</v>
      </c>
      <c r="L15" s="7">
        <v>6.73</v>
      </c>
      <c r="M15" s="54">
        <v>0.4</v>
      </c>
      <c r="N15" s="54">
        <v>0.3</v>
      </c>
      <c r="O15" s="54">
        <v>0.3</v>
      </c>
      <c r="P15" s="11"/>
      <c r="Q15" s="12">
        <v>2</v>
      </c>
      <c r="R15" s="11">
        <v>111</v>
      </c>
      <c r="S15" s="59"/>
    </row>
    <row r="16" spans="1:19" ht="23.25" customHeight="1" x14ac:dyDescent="0.25">
      <c r="A16" s="280">
        <v>0.79166666666666696</v>
      </c>
      <c r="B16" s="30" t="str">
        <f t="shared" si="0"/>
        <v/>
      </c>
      <c r="C16" s="4"/>
      <c r="D16" s="5"/>
      <c r="E16" s="6"/>
      <c r="F16" s="33"/>
      <c r="G16" s="4"/>
      <c r="H16" s="4"/>
      <c r="I16" s="7"/>
      <c r="J16" s="8"/>
      <c r="K16" s="4"/>
      <c r="L16" s="7"/>
      <c r="M16" s="54"/>
      <c r="N16" s="54"/>
      <c r="O16" s="54"/>
      <c r="P16" s="11"/>
      <c r="Q16" s="12"/>
      <c r="R16" s="11">
        <v>108</v>
      </c>
      <c r="S16" s="59"/>
    </row>
    <row r="17" spans="1:19" ht="23.25" customHeight="1" x14ac:dyDescent="0.25">
      <c r="A17" s="280">
        <v>0.83333333333333304</v>
      </c>
      <c r="B17" s="30">
        <f t="shared" si="0"/>
        <v>90.5</v>
      </c>
      <c r="C17" s="4">
        <v>5.5</v>
      </c>
      <c r="D17" s="5">
        <v>4</v>
      </c>
      <c r="E17" s="6"/>
      <c r="F17" s="33">
        <v>335</v>
      </c>
      <c r="G17" s="4">
        <v>11.62</v>
      </c>
      <c r="H17" s="4">
        <v>2.77</v>
      </c>
      <c r="I17" s="7">
        <v>3.66</v>
      </c>
      <c r="J17" s="8">
        <v>92.58</v>
      </c>
      <c r="K17" s="4">
        <v>56.62</v>
      </c>
      <c r="L17" s="7">
        <v>6.72</v>
      </c>
      <c r="M17" s="54">
        <v>0.4</v>
      </c>
      <c r="N17" s="54">
        <v>0.3</v>
      </c>
      <c r="O17" s="54">
        <v>0.3</v>
      </c>
      <c r="P17" s="11"/>
      <c r="Q17" s="12">
        <v>2</v>
      </c>
      <c r="R17" s="11">
        <v>109</v>
      </c>
      <c r="S17" s="59"/>
    </row>
    <row r="18" spans="1:19" ht="23.25" customHeight="1" x14ac:dyDescent="0.25">
      <c r="A18" s="280">
        <v>0.875</v>
      </c>
      <c r="B18" s="30" t="str">
        <f t="shared" si="0"/>
        <v/>
      </c>
      <c r="C18" s="4"/>
      <c r="D18" s="5"/>
      <c r="E18" s="6"/>
      <c r="F18" s="33"/>
      <c r="G18" s="4"/>
      <c r="H18" s="4"/>
      <c r="I18" s="7"/>
      <c r="J18" s="8"/>
      <c r="K18" s="4"/>
      <c r="L18" s="7"/>
      <c r="M18" s="54"/>
      <c r="N18" s="54"/>
      <c r="O18" s="54"/>
      <c r="P18" s="11"/>
      <c r="Q18" s="12"/>
      <c r="R18" s="13">
        <v>113</v>
      </c>
      <c r="S18" s="59"/>
    </row>
    <row r="19" spans="1:19" ht="23.25" customHeight="1" x14ac:dyDescent="0.25">
      <c r="A19" s="280">
        <v>0.91666666666666696</v>
      </c>
      <c r="B19" s="30" t="str">
        <f t="shared" si="0"/>
        <v/>
      </c>
      <c r="C19" s="4"/>
      <c r="D19" s="5"/>
      <c r="E19" s="6"/>
      <c r="F19" s="33">
        <v>332</v>
      </c>
      <c r="G19" s="4">
        <v>11.06</v>
      </c>
      <c r="H19" s="4">
        <v>2.71</v>
      </c>
      <c r="I19" s="7">
        <v>3.66</v>
      </c>
      <c r="J19" s="8">
        <v>92.8</v>
      </c>
      <c r="K19" s="4">
        <v>56.93</v>
      </c>
      <c r="L19" s="7">
        <v>6.79</v>
      </c>
      <c r="M19" s="54">
        <v>0.4</v>
      </c>
      <c r="N19" s="54">
        <v>0.3</v>
      </c>
      <c r="O19" s="54">
        <v>0.3</v>
      </c>
      <c r="P19" s="11"/>
      <c r="Q19" s="12">
        <v>2</v>
      </c>
      <c r="R19" s="11">
        <v>108</v>
      </c>
      <c r="S19" s="59"/>
    </row>
    <row r="20" spans="1:19" ht="23.25" customHeight="1" x14ac:dyDescent="0.25">
      <c r="A20" s="280">
        <v>0.95833333333333304</v>
      </c>
      <c r="B20" s="30" t="str">
        <f t="shared" si="0"/>
        <v/>
      </c>
      <c r="C20" s="4"/>
      <c r="D20" s="5"/>
      <c r="E20" s="6"/>
      <c r="F20" s="33"/>
      <c r="G20" s="4"/>
      <c r="H20" s="4"/>
      <c r="I20" s="7"/>
      <c r="J20" s="8"/>
      <c r="K20" s="4"/>
      <c r="L20" s="7"/>
      <c r="M20" s="54"/>
      <c r="N20" s="54"/>
      <c r="O20" s="54"/>
      <c r="P20" s="11"/>
      <c r="Q20" s="12"/>
      <c r="R20" s="11">
        <v>109</v>
      </c>
      <c r="S20" s="59"/>
    </row>
    <row r="21" spans="1:19" ht="23.25" customHeight="1" x14ac:dyDescent="0.25">
      <c r="A21" s="280">
        <v>1</v>
      </c>
      <c r="B21" s="30">
        <f t="shared" si="0"/>
        <v>90.5</v>
      </c>
      <c r="C21" s="4">
        <v>5.5</v>
      </c>
      <c r="D21" s="5">
        <v>4</v>
      </c>
      <c r="E21" s="6"/>
      <c r="F21" s="33">
        <v>339</v>
      </c>
      <c r="G21" s="4">
        <v>11.06</v>
      </c>
      <c r="H21" s="4">
        <v>2.74</v>
      </c>
      <c r="I21" s="7">
        <v>3.75</v>
      </c>
      <c r="J21" s="8">
        <v>92.9</v>
      </c>
      <c r="K21" s="4">
        <v>56.95</v>
      </c>
      <c r="L21" s="7">
        <v>6.64</v>
      </c>
      <c r="M21" s="54">
        <v>0.4</v>
      </c>
      <c r="N21" s="54">
        <v>0.3</v>
      </c>
      <c r="O21" s="54">
        <v>0.3</v>
      </c>
      <c r="P21" s="11"/>
      <c r="Q21" s="12">
        <v>2</v>
      </c>
      <c r="R21" s="11">
        <v>109</v>
      </c>
      <c r="S21" s="59"/>
    </row>
    <row r="22" spans="1:19" ht="23.25" customHeight="1" x14ac:dyDescent="0.25">
      <c r="A22" s="280">
        <v>1.0416666666666701</v>
      </c>
      <c r="B22" s="30" t="str">
        <f t="shared" si="0"/>
        <v/>
      </c>
      <c r="C22" s="4"/>
      <c r="D22" s="5"/>
      <c r="E22" s="6"/>
      <c r="F22" s="33"/>
      <c r="G22" s="4"/>
      <c r="H22" s="4"/>
      <c r="I22" s="7"/>
      <c r="J22" s="8"/>
      <c r="K22" s="4"/>
      <c r="L22" s="7"/>
      <c r="M22" s="54"/>
      <c r="N22" s="54"/>
      <c r="O22" s="54"/>
      <c r="P22" s="11"/>
      <c r="Q22" s="12"/>
      <c r="R22" s="11">
        <v>108</v>
      </c>
      <c r="S22" s="59"/>
    </row>
    <row r="23" spans="1:19" ht="23.25" customHeight="1" x14ac:dyDescent="0.25">
      <c r="A23" s="280">
        <v>1.0833333333333299</v>
      </c>
      <c r="B23" s="30" t="str">
        <f t="shared" si="0"/>
        <v/>
      </c>
      <c r="C23" s="4"/>
      <c r="D23" s="5"/>
      <c r="E23" s="6"/>
      <c r="F23" s="33">
        <v>341</v>
      </c>
      <c r="G23" s="4">
        <v>10.53</v>
      </c>
      <c r="H23" s="4">
        <v>2.8</v>
      </c>
      <c r="I23" s="7">
        <v>3.7</v>
      </c>
      <c r="J23" s="8">
        <v>93.09</v>
      </c>
      <c r="K23" s="4">
        <v>57.17</v>
      </c>
      <c r="L23" s="7">
        <v>6.72</v>
      </c>
      <c r="M23" s="54">
        <v>0.4</v>
      </c>
      <c r="N23" s="54">
        <v>0.3</v>
      </c>
      <c r="O23" s="54">
        <v>0.3</v>
      </c>
      <c r="P23" s="11"/>
      <c r="Q23" s="12">
        <v>2</v>
      </c>
      <c r="R23" s="11">
        <v>108</v>
      </c>
      <c r="S23" s="59"/>
    </row>
    <row r="24" spans="1:19" ht="23.25" customHeight="1" x14ac:dyDescent="0.25">
      <c r="A24" s="280">
        <v>1.125</v>
      </c>
      <c r="B24" s="30" t="str">
        <f t="shared" si="0"/>
        <v/>
      </c>
      <c r="C24" s="4"/>
      <c r="D24" s="5"/>
      <c r="E24" s="6"/>
      <c r="F24" s="33"/>
      <c r="G24" s="4"/>
      <c r="H24" s="4"/>
      <c r="I24" s="7"/>
      <c r="J24" s="8"/>
      <c r="K24" s="4"/>
      <c r="L24" s="7"/>
      <c r="M24" s="54"/>
      <c r="N24" s="54"/>
      <c r="O24" s="54"/>
      <c r="P24" s="11"/>
      <c r="Q24" s="12"/>
      <c r="R24" s="11">
        <v>108</v>
      </c>
      <c r="S24" s="95"/>
    </row>
    <row r="25" spans="1:19" ht="23.25" customHeight="1" x14ac:dyDescent="0.25">
      <c r="A25" s="280">
        <v>1.1666666666666701</v>
      </c>
      <c r="B25" s="30" t="str">
        <f t="shared" si="0"/>
        <v/>
      </c>
      <c r="C25" s="4"/>
      <c r="D25" s="5"/>
      <c r="E25" s="6"/>
      <c r="F25" s="33">
        <v>339</v>
      </c>
      <c r="G25" s="4">
        <v>10.53</v>
      </c>
      <c r="H25" s="4">
        <v>2.82</v>
      </c>
      <c r="I25" s="7">
        <v>3.69</v>
      </c>
      <c r="J25" s="8">
        <v>92.94</v>
      </c>
      <c r="K25" s="4">
        <v>57.03</v>
      </c>
      <c r="L25" s="7">
        <v>6.4</v>
      </c>
      <c r="M25" s="54">
        <v>0.4</v>
      </c>
      <c r="N25" s="54">
        <v>0.3</v>
      </c>
      <c r="O25" s="54">
        <v>0.3</v>
      </c>
      <c r="P25" s="11"/>
      <c r="Q25" s="12">
        <v>2</v>
      </c>
      <c r="R25" s="11">
        <v>108</v>
      </c>
      <c r="S25" s="95"/>
    </row>
    <row r="26" spans="1:19" ht="23.25" customHeight="1" x14ac:dyDescent="0.25">
      <c r="A26" s="280">
        <v>1.2083333333333299</v>
      </c>
      <c r="B26" s="30" t="str">
        <f t="shared" si="0"/>
        <v/>
      </c>
      <c r="C26" s="4"/>
      <c r="D26" s="5"/>
      <c r="E26" s="6"/>
      <c r="F26" s="34"/>
      <c r="G26" s="4"/>
      <c r="H26" s="4"/>
      <c r="I26" s="7"/>
      <c r="J26" s="8"/>
      <c r="K26" s="4"/>
      <c r="L26" s="7"/>
      <c r="M26" s="54"/>
      <c r="N26" s="54"/>
      <c r="O26" s="54"/>
      <c r="P26" s="11"/>
      <c r="Q26" s="12"/>
      <c r="R26" s="11">
        <v>114</v>
      </c>
      <c r="S26" s="59"/>
    </row>
    <row r="27" spans="1:19" ht="23.25" customHeight="1" thickBot="1" x14ac:dyDescent="0.3">
      <c r="A27" s="281">
        <v>1.25</v>
      </c>
      <c r="B27" s="30">
        <f t="shared" si="0"/>
        <v>90.5</v>
      </c>
      <c r="C27" s="14">
        <v>5.5</v>
      </c>
      <c r="D27" s="15">
        <v>4</v>
      </c>
      <c r="E27" s="16"/>
      <c r="F27" s="35">
        <v>346</v>
      </c>
      <c r="G27" s="14">
        <v>10.68</v>
      </c>
      <c r="H27" s="14">
        <v>2.82</v>
      </c>
      <c r="I27" s="17">
        <v>3.81</v>
      </c>
      <c r="J27" s="18">
        <v>93.15</v>
      </c>
      <c r="K27" s="14">
        <v>57.22</v>
      </c>
      <c r="L27" s="17">
        <v>6.3</v>
      </c>
      <c r="M27" s="54">
        <v>0.4</v>
      </c>
      <c r="N27" s="54">
        <v>0.3</v>
      </c>
      <c r="O27" s="54">
        <v>0.3</v>
      </c>
      <c r="P27" s="11"/>
      <c r="Q27" s="12">
        <v>2</v>
      </c>
      <c r="R27" s="21">
        <v>114</v>
      </c>
      <c r="S27" s="60"/>
    </row>
    <row r="28" spans="1:19" ht="23.25" customHeight="1" thickTop="1" x14ac:dyDescent="0.25">
      <c r="A28" s="282" t="s">
        <v>46</v>
      </c>
      <c r="B28" s="283">
        <f>MIN(B4:B27)</f>
        <v>90.1</v>
      </c>
      <c r="C28" s="284">
        <f t="shared" ref="C28:L28" si="1">MIN(C4:C27)</f>
        <v>5.5</v>
      </c>
      <c r="D28" s="285">
        <f t="shared" si="1"/>
        <v>4</v>
      </c>
      <c r="E28" s="283">
        <f t="shared" si="1"/>
        <v>0</v>
      </c>
      <c r="F28" s="286">
        <f t="shared" si="1"/>
        <v>332</v>
      </c>
      <c r="G28" s="284">
        <f t="shared" si="1"/>
        <v>10.53</v>
      </c>
      <c r="H28" s="284">
        <f t="shared" si="1"/>
        <v>2.71</v>
      </c>
      <c r="I28" s="285">
        <f t="shared" si="1"/>
        <v>3.66</v>
      </c>
      <c r="J28" s="283">
        <f t="shared" si="1"/>
        <v>92.55</v>
      </c>
      <c r="K28" s="284">
        <f t="shared" si="1"/>
        <v>56.62</v>
      </c>
      <c r="L28" s="285">
        <f t="shared" si="1"/>
        <v>6.3</v>
      </c>
      <c r="M28" s="283"/>
      <c r="N28" s="284"/>
      <c r="O28" s="284"/>
      <c r="P28" s="285"/>
      <c r="Q28" s="287"/>
      <c r="R28" s="288">
        <f t="shared" ref="R28" si="2">MIN(R4:R27)</f>
        <v>104</v>
      </c>
      <c r="S28" s="289"/>
    </row>
    <row r="29" spans="1:19" ht="23.25" customHeight="1" x14ac:dyDescent="0.25">
      <c r="A29" s="290" t="s">
        <v>47</v>
      </c>
      <c r="B29" s="291">
        <f>MAX(B4:B27)</f>
        <v>90.5</v>
      </c>
      <c r="C29" s="292">
        <f t="shared" ref="C29:L29" si="3">MAX(C4:C27)</f>
        <v>5.9</v>
      </c>
      <c r="D29" s="293">
        <f t="shared" si="3"/>
        <v>4</v>
      </c>
      <c r="E29" s="291">
        <f t="shared" si="3"/>
        <v>0</v>
      </c>
      <c r="F29" s="294">
        <f t="shared" si="3"/>
        <v>346</v>
      </c>
      <c r="G29" s="292">
        <f t="shared" si="3"/>
        <v>11.62</v>
      </c>
      <c r="H29" s="292">
        <f t="shared" si="3"/>
        <v>2.84</v>
      </c>
      <c r="I29" s="293">
        <f t="shared" si="3"/>
        <v>3.83</v>
      </c>
      <c r="J29" s="291">
        <f t="shared" si="3"/>
        <v>93.16</v>
      </c>
      <c r="K29" s="292">
        <f t="shared" si="3"/>
        <v>57.23</v>
      </c>
      <c r="L29" s="293">
        <f t="shared" si="3"/>
        <v>6.79</v>
      </c>
      <c r="M29" s="291"/>
      <c r="N29" s="292"/>
      <c r="O29" s="292"/>
      <c r="P29" s="293"/>
      <c r="Q29" s="295"/>
      <c r="R29" s="296">
        <f t="shared" ref="R29" si="4">MAX(R4:R27)</f>
        <v>114</v>
      </c>
      <c r="S29" s="297"/>
    </row>
    <row r="30" spans="1:19" ht="23.25" customHeight="1" x14ac:dyDescent="0.25">
      <c r="A30" s="290" t="s">
        <v>10</v>
      </c>
      <c r="B30" s="291">
        <f>AVERAGE(B4:B27)</f>
        <v>90.366666666666674</v>
      </c>
      <c r="C30" s="292">
        <f t="shared" ref="C30:L30" si="5">AVERAGE(C4:C27)</f>
        <v>5.6333333333333329</v>
      </c>
      <c r="D30" s="293">
        <f t="shared" si="5"/>
        <v>4</v>
      </c>
      <c r="E30" s="291" t="e">
        <f t="shared" si="5"/>
        <v>#DIV/0!</v>
      </c>
      <c r="F30" s="294">
        <f t="shared" si="5"/>
        <v>338.45454545454544</v>
      </c>
      <c r="G30" s="292">
        <f t="shared" si="5"/>
        <v>10.972727272727274</v>
      </c>
      <c r="H30" s="292">
        <f t="shared" si="5"/>
        <v>2.7945454545454549</v>
      </c>
      <c r="I30" s="293">
        <f t="shared" si="5"/>
        <v>3.7345454545454544</v>
      </c>
      <c r="J30" s="291">
        <f t="shared" si="5"/>
        <v>92.903636363636352</v>
      </c>
      <c r="K30" s="292">
        <f t="shared" si="5"/>
        <v>56.986363636363642</v>
      </c>
      <c r="L30" s="293">
        <f t="shared" si="5"/>
        <v>6.6099999999999994</v>
      </c>
      <c r="M30" s="291"/>
      <c r="N30" s="292"/>
      <c r="O30" s="292"/>
      <c r="P30" s="293"/>
      <c r="Q30" s="295"/>
      <c r="R30" s="296">
        <f t="shared" ref="R30" si="6">AVERAGE(R4:R27)</f>
        <v>109.31818181818181</v>
      </c>
      <c r="S30" s="297"/>
    </row>
    <row r="31" spans="1:19" ht="23.25" customHeight="1" thickBot="1" x14ac:dyDescent="0.3">
      <c r="A31" s="298" t="s">
        <v>48</v>
      </c>
      <c r="B31" s="299">
        <f>STDEV(B4:B27)</f>
        <v>0.17511900715418402</v>
      </c>
      <c r="C31" s="300">
        <f t="shared" ref="C31:L31" si="7">STDEV(C4:C27)</f>
        <v>0.17511900715418272</v>
      </c>
      <c r="D31" s="301">
        <f t="shared" si="7"/>
        <v>0</v>
      </c>
      <c r="E31" s="299" t="e">
        <f t="shared" si="7"/>
        <v>#DIV/0!</v>
      </c>
      <c r="F31" s="299">
        <f t="shared" si="7"/>
        <v>3.7246110230099561</v>
      </c>
      <c r="G31" s="300">
        <f t="shared" si="7"/>
        <v>0.36929909041563874</v>
      </c>
      <c r="H31" s="300">
        <f t="shared" si="7"/>
        <v>3.9588795476406209E-2</v>
      </c>
      <c r="I31" s="301">
        <f t="shared" si="7"/>
        <v>5.8200281161457659E-2</v>
      </c>
      <c r="J31" s="299">
        <f t="shared" si="7"/>
        <v>0.21809505850764951</v>
      </c>
      <c r="K31" s="300">
        <f t="shared" si="7"/>
        <v>0.20776297684008677</v>
      </c>
      <c r="L31" s="301">
        <f t="shared" si="7"/>
        <v>0.14798648586948737</v>
      </c>
      <c r="M31" s="299"/>
      <c r="N31" s="300"/>
      <c r="O31" s="300"/>
      <c r="P31" s="301"/>
      <c r="Q31" s="302"/>
      <c r="R31" s="301">
        <f t="shared" ref="R31" si="8">STDEV(R4:R27)</f>
        <v>2.2336466795752385</v>
      </c>
      <c r="S31" s="303"/>
    </row>
    <row r="32" spans="1:19" ht="21" customHeight="1" x14ac:dyDescent="0.25">
      <c r="B32" s="304" t="s">
        <v>42</v>
      </c>
      <c r="C32" s="305" t="s">
        <v>45</v>
      </c>
      <c r="D32" s="305"/>
      <c r="E32" s="306"/>
      <c r="F32" s="305"/>
      <c r="G32" s="305" t="s">
        <v>43</v>
      </c>
      <c r="H32" s="305"/>
    </row>
  </sheetData>
  <mergeCells count="13">
    <mergeCell ref="S1:S2"/>
    <mergeCell ref="A1:A2"/>
    <mergeCell ref="B1:E1"/>
    <mergeCell ref="F1:F2"/>
    <mergeCell ref="G1:G2"/>
    <mergeCell ref="H1:H2"/>
    <mergeCell ref="I1:I2"/>
    <mergeCell ref="J1:J2"/>
    <mergeCell ref="K1:K2"/>
    <mergeCell ref="L1:L2"/>
    <mergeCell ref="M1:P1"/>
    <mergeCell ref="Q1:Q2"/>
    <mergeCell ref="R1:R2"/>
  </mergeCells>
  <printOptions horizontalCentered="1"/>
  <pageMargins left="0" right="0" top="0" bottom="0" header="0.3" footer="0.3"/>
  <pageSetup paperSize="9" scale="6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Raw Mill</vt:lpstr>
      <vt:lpstr>Kiln Feed</vt:lpstr>
      <vt:lpstr>Clinker</vt:lpstr>
      <vt:lpstr>Cement Mill 1</vt:lpstr>
      <vt:lpstr>Cement Mill 2</vt:lpstr>
      <vt:lpstr>'Cement Mill 1'!Print_Area</vt:lpstr>
      <vt:lpstr>'Cement Mill 2'!Print_Area</vt:lpstr>
      <vt:lpstr>Clinker!Print_Area</vt:lpstr>
      <vt:lpstr>'Kiln Feed'!Print_Area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murugesan thangavel</dc:creator>
  <cp:lastModifiedBy>Mahmoud Gaweesh</cp:lastModifiedBy>
  <cp:lastPrinted>2020-11-11T05:00:27Z</cp:lastPrinted>
  <dcterms:created xsi:type="dcterms:W3CDTF">2006-09-16T00:00:00Z</dcterms:created>
  <dcterms:modified xsi:type="dcterms:W3CDTF">2025-12-10T06:19:47Z</dcterms:modified>
</cp:coreProperties>
</file>