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20" yWindow="-120" windowWidth="20736" windowHeight="11160" tabRatio="928"/>
  </bookViews>
  <sheets>
    <sheet name="Clay" sheetId="15" r:id="rId1"/>
    <sheet name="Kaoline" sheetId="22" r:id="rId2"/>
    <sheet name="Sand WF" sheetId="24" state="hidden" r:id="rId3"/>
    <sheet name="I.Ore" sheetId="16" r:id="rId4"/>
  </sheets>
  <definedNames>
    <definedName name="_xlnm.Print_Area" localSheetId="0">Clay!$A$1:$L$36</definedName>
    <definedName name="_xlnm.Print_Area" localSheetId="3">I.Ore!$A$1:$M$2</definedName>
    <definedName name="_xlnm.Print_Area" localSheetId="1">Kaoline!$A$1:$L$15</definedName>
    <definedName name="_xlnm.Print_Area" localSheetId="2">'Sand WF'!$B$1:$M$54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6" l="1"/>
  <c r="E13" i="16"/>
  <c r="F13" i="16"/>
  <c r="G13" i="16"/>
  <c r="H13" i="16"/>
  <c r="I13" i="16"/>
  <c r="J13" i="16"/>
  <c r="K13" i="16"/>
  <c r="L13" i="16"/>
  <c r="M13" i="16"/>
  <c r="C13" i="16"/>
  <c r="L6" i="24" l="1"/>
  <c r="L7" i="24"/>
  <c r="L8" i="24"/>
  <c r="M34" i="24"/>
  <c r="L34" i="24"/>
  <c r="M33" i="24"/>
  <c r="L33" i="24"/>
  <c r="M32" i="24"/>
  <c r="L32" i="24"/>
  <c r="M31" i="24"/>
  <c r="L31" i="24"/>
  <c r="M30" i="24"/>
  <c r="L30" i="24"/>
  <c r="M29" i="24"/>
  <c r="L29" i="24"/>
  <c r="M28" i="24"/>
  <c r="L28" i="24"/>
  <c r="M27" i="24"/>
  <c r="L27" i="24"/>
  <c r="M26" i="24"/>
  <c r="L26" i="24"/>
  <c r="M25" i="24"/>
  <c r="L25" i="24"/>
  <c r="M24" i="24"/>
  <c r="L24" i="24"/>
  <c r="M23" i="24"/>
  <c r="L23" i="24"/>
  <c r="M22" i="24"/>
  <c r="L22" i="24"/>
  <c r="M21" i="24"/>
  <c r="L21" i="24"/>
  <c r="M20" i="24"/>
  <c r="L20" i="24"/>
  <c r="M19" i="24"/>
  <c r="L19" i="24"/>
  <c r="M18" i="24"/>
  <c r="L18" i="24"/>
  <c r="M17" i="24"/>
  <c r="L17" i="24"/>
  <c r="M16" i="24"/>
  <c r="L16" i="24"/>
  <c r="M15" i="24"/>
  <c r="L15" i="24"/>
  <c r="M14" i="24"/>
  <c r="L14" i="24"/>
  <c r="M13" i="24"/>
  <c r="L13" i="24"/>
  <c r="M12" i="24"/>
  <c r="L12" i="24"/>
  <c r="M11" i="24"/>
  <c r="L11" i="24"/>
  <c r="M10" i="24"/>
  <c r="L10" i="24"/>
  <c r="M9" i="24"/>
  <c r="L9" i="24"/>
  <c r="M8" i="24"/>
  <c r="M7" i="24"/>
  <c r="K4" i="22" l="1"/>
  <c r="K3" i="22"/>
  <c r="K2" i="22"/>
  <c r="J16" i="22" l="1"/>
  <c r="I16" i="22"/>
  <c r="H16" i="22"/>
  <c r="G16" i="22"/>
  <c r="F16" i="22"/>
  <c r="E16" i="22"/>
  <c r="D16" i="22"/>
  <c r="C16" i="22"/>
  <c r="B16" i="22"/>
  <c r="L16" i="22" l="1"/>
  <c r="K16" i="22"/>
  <c r="L12" i="16" l="1"/>
  <c r="K5" i="22"/>
  <c r="K59" i="15" l="1"/>
  <c r="K48" i="15" l="1"/>
  <c r="K68" i="15" l="1"/>
  <c r="L68" i="15"/>
  <c r="K69" i="15"/>
  <c r="L69" i="15"/>
  <c r="K70" i="15"/>
  <c r="L70" i="15"/>
  <c r="K71" i="15"/>
  <c r="L71" i="15"/>
  <c r="K72" i="15"/>
  <c r="L72" i="15"/>
  <c r="K73" i="15"/>
  <c r="L73" i="15"/>
  <c r="K74" i="15"/>
  <c r="L74" i="15"/>
  <c r="K75" i="15"/>
  <c r="L75" i="15"/>
  <c r="K67" i="15" l="1"/>
  <c r="L67" i="15"/>
  <c r="K66" i="15"/>
  <c r="L66" i="15"/>
  <c r="K65" i="15"/>
  <c r="L65" i="15"/>
  <c r="K64" i="15" l="1"/>
  <c r="L64" i="15"/>
  <c r="K63" i="15"/>
  <c r="L63" i="15"/>
  <c r="K62" i="15"/>
  <c r="L62" i="15"/>
  <c r="K61" i="15" l="1"/>
  <c r="L61" i="15"/>
  <c r="K60" i="15"/>
  <c r="L60" i="15"/>
  <c r="L59" i="15"/>
  <c r="K58" i="15" l="1"/>
  <c r="L58" i="15"/>
  <c r="K57" i="15"/>
  <c r="L57" i="15"/>
  <c r="K56" i="15" l="1"/>
  <c r="L56" i="15"/>
  <c r="K55" i="15" l="1"/>
  <c r="L55" i="15"/>
  <c r="K54" i="15"/>
  <c r="L54" i="15"/>
  <c r="K53" i="15" l="1"/>
  <c r="L53" i="15"/>
  <c r="K52" i="15" l="1"/>
  <c r="L52" i="15"/>
  <c r="K51" i="15"/>
  <c r="L51" i="15"/>
  <c r="K50" i="15"/>
  <c r="L50" i="15"/>
  <c r="K49" i="15" l="1"/>
  <c r="L49" i="15"/>
  <c r="L48" i="15"/>
  <c r="K13" i="22" l="1"/>
  <c r="L13" i="22"/>
  <c r="K14" i="22"/>
  <c r="L14" i="22"/>
  <c r="K11" i="22"/>
  <c r="L11" i="22"/>
  <c r="K18" i="15" l="1"/>
  <c r="L18" i="15"/>
  <c r="K7" i="15" l="1"/>
  <c r="M12" i="16" l="1"/>
  <c r="M9" i="16"/>
  <c r="L9" i="16"/>
  <c r="M8" i="16"/>
  <c r="L8" i="16"/>
  <c r="M7" i="16"/>
  <c r="L7" i="16"/>
  <c r="M6" i="16"/>
  <c r="L6" i="16"/>
  <c r="M5" i="16"/>
  <c r="L5" i="16"/>
  <c r="M4" i="16"/>
  <c r="L4" i="16"/>
  <c r="L17" i="15"/>
  <c r="K17" i="15"/>
  <c r="L16" i="15"/>
  <c r="K16" i="15"/>
  <c r="L15" i="15"/>
  <c r="K15" i="15"/>
  <c r="L14" i="15"/>
  <c r="K14" i="15"/>
  <c r="L13" i="15"/>
  <c r="K13" i="15"/>
  <c r="L12" i="15"/>
  <c r="K12" i="15"/>
  <c r="L11" i="15"/>
  <c r="K11" i="15"/>
  <c r="L10" i="15"/>
  <c r="K10" i="15"/>
  <c r="L9" i="15"/>
  <c r="K9" i="15"/>
  <c r="L8" i="15"/>
  <c r="K8" i="15"/>
  <c r="L7" i="15"/>
  <c r="L6" i="15"/>
  <c r="K6" i="15"/>
  <c r="L5" i="15"/>
  <c r="K5" i="15"/>
  <c r="L4" i="15"/>
  <c r="K4" i="15"/>
  <c r="L3" i="15"/>
  <c r="K3" i="15"/>
  <c r="L32" i="15"/>
  <c r="K32" i="15"/>
  <c r="L31" i="15"/>
  <c r="K31" i="15"/>
  <c r="L30" i="15"/>
  <c r="K30" i="15"/>
  <c r="L29" i="15"/>
  <c r="K29" i="15"/>
  <c r="L28" i="15"/>
  <c r="K28" i="15"/>
  <c r="L27" i="15"/>
  <c r="K27" i="15"/>
  <c r="L26" i="15"/>
  <c r="K26" i="15"/>
  <c r="L25" i="15"/>
  <c r="K25" i="15"/>
  <c r="L24" i="15"/>
  <c r="K24" i="15"/>
  <c r="L23" i="15"/>
  <c r="K23" i="15"/>
  <c r="L22" i="15"/>
  <c r="K22" i="15"/>
  <c r="L21" i="15"/>
  <c r="K21" i="15"/>
  <c r="L20" i="15"/>
  <c r="K20" i="15"/>
  <c r="L19" i="15"/>
  <c r="K19" i="15"/>
  <c r="K44" i="15" l="1"/>
  <c r="L44" i="15"/>
  <c r="K45" i="15"/>
  <c r="L45" i="15"/>
  <c r="K46" i="15"/>
  <c r="L46" i="15"/>
  <c r="K47" i="15"/>
  <c r="L47" i="15"/>
  <c r="L43" i="15"/>
  <c r="K43" i="15"/>
  <c r="K40" i="15" l="1"/>
  <c r="L40" i="15"/>
  <c r="K41" i="15"/>
  <c r="L41" i="15"/>
  <c r="K42" i="15"/>
  <c r="L42" i="15"/>
  <c r="L39" i="15" l="1"/>
  <c r="K39" i="15"/>
  <c r="L38" i="15"/>
  <c r="K38" i="15"/>
  <c r="K36" i="15"/>
  <c r="L36" i="15"/>
  <c r="K37" i="15"/>
  <c r="L37" i="15" l="1"/>
  <c r="K35" i="15" l="1"/>
  <c r="L35" i="15"/>
  <c r="K34" i="15"/>
  <c r="L34" i="15"/>
  <c r="K33" i="15" l="1"/>
  <c r="L33" i="15"/>
  <c r="K2" i="15"/>
  <c r="L2" i="15"/>
  <c r="L3" i="24" l="1"/>
  <c r="M64" i="24" l="1"/>
  <c r="L64" i="24"/>
  <c r="M63" i="24"/>
  <c r="L63" i="24"/>
  <c r="M62" i="24"/>
  <c r="L62" i="24"/>
  <c r="M61" i="24"/>
  <c r="L61" i="24"/>
  <c r="M60" i="24"/>
  <c r="L60" i="24"/>
  <c r="M59" i="24"/>
  <c r="L59" i="24"/>
  <c r="M58" i="24"/>
  <c r="L58" i="24"/>
  <c r="M57" i="24"/>
  <c r="L57" i="24"/>
  <c r="M56" i="24"/>
  <c r="L56" i="24"/>
  <c r="M55" i="24"/>
  <c r="L55" i="24"/>
  <c r="M54" i="24"/>
  <c r="L54" i="24"/>
  <c r="M53" i="24"/>
  <c r="L53" i="24"/>
  <c r="M52" i="24"/>
  <c r="L52" i="24"/>
  <c r="M51" i="24"/>
  <c r="L51" i="24"/>
  <c r="M50" i="24"/>
  <c r="L50" i="24"/>
  <c r="M49" i="24"/>
  <c r="L49" i="24"/>
  <c r="M48" i="24"/>
  <c r="L48" i="24"/>
  <c r="M47" i="24"/>
  <c r="L47" i="24"/>
  <c r="M46" i="24"/>
  <c r="L46" i="24"/>
  <c r="M45" i="24"/>
  <c r="L45" i="24"/>
  <c r="M44" i="24"/>
  <c r="L44" i="24"/>
  <c r="M43" i="24"/>
  <c r="L43" i="24"/>
  <c r="M42" i="24"/>
  <c r="L42" i="24"/>
  <c r="M41" i="24"/>
  <c r="L41" i="24"/>
  <c r="M40" i="24"/>
  <c r="L40" i="24"/>
  <c r="M39" i="24"/>
  <c r="L39" i="24"/>
  <c r="M38" i="24"/>
  <c r="L38" i="24"/>
  <c r="M37" i="24"/>
  <c r="L37" i="24"/>
  <c r="M36" i="24"/>
  <c r="L36" i="24"/>
  <c r="M35" i="24"/>
  <c r="L35" i="24"/>
  <c r="M6" i="24"/>
  <c r="L3" i="16" l="1"/>
  <c r="M3" i="16"/>
  <c r="L10" i="16"/>
  <c r="M10" i="16"/>
  <c r="L11" i="16"/>
  <c r="M11" i="16"/>
  <c r="K9" i="22" l="1"/>
  <c r="L9" i="22"/>
  <c r="K8" i="22"/>
  <c r="L8" i="22"/>
  <c r="K7" i="22" l="1"/>
  <c r="L7" i="22"/>
  <c r="K6" i="22" l="1"/>
  <c r="L6" i="22"/>
  <c r="L5" i="22" l="1"/>
  <c r="L4" i="22" l="1"/>
  <c r="L3" i="22" l="1"/>
  <c r="L2" i="22" l="1"/>
  <c r="L10" i="22" l="1"/>
  <c r="K10" i="22"/>
  <c r="L15" i="22" l="1"/>
  <c r="K15" i="22"/>
  <c r="L12" i="22"/>
  <c r="K12" i="22"/>
</calcChain>
</file>

<file path=xl/sharedStrings.xml><?xml version="1.0" encoding="utf-8"?>
<sst xmlns="http://schemas.openxmlformats.org/spreadsheetml/2006/main" count="56" uniqueCount="19">
  <si>
    <t>CaO</t>
  </si>
  <si>
    <t>MgO</t>
  </si>
  <si>
    <t>SM</t>
  </si>
  <si>
    <t>AM</t>
  </si>
  <si>
    <t xml:space="preserve">   HAIL CEMENT COMPANY LTD.</t>
  </si>
  <si>
    <r>
      <t>SiO</t>
    </r>
    <r>
      <rPr>
        <b/>
        <vertAlign val="subscript"/>
        <sz val="14"/>
        <color theme="1"/>
        <rFont val="Calibri"/>
        <family val="2"/>
        <scheme val="minor"/>
      </rPr>
      <t>2</t>
    </r>
  </si>
  <si>
    <r>
      <t>Al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O</t>
    </r>
    <r>
      <rPr>
        <b/>
        <vertAlign val="subscript"/>
        <sz val="14"/>
        <color theme="1"/>
        <rFont val="Calibri"/>
        <family val="2"/>
        <scheme val="minor"/>
      </rPr>
      <t>3</t>
    </r>
  </si>
  <si>
    <r>
      <t>Fe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O</t>
    </r>
    <r>
      <rPr>
        <b/>
        <vertAlign val="subscript"/>
        <sz val="14"/>
        <color theme="1"/>
        <rFont val="Calibri"/>
        <family val="2"/>
        <scheme val="minor"/>
      </rPr>
      <t>3</t>
    </r>
  </si>
  <si>
    <r>
      <t>SO</t>
    </r>
    <r>
      <rPr>
        <b/>
        <vertAlign val="subscript"/>
        <sz val="14"/>
        <color theme="1"/>
        <rFont val="Calibri"/>
        <family val="2"/>
        <scheme val="minor"/>
      </rPr>
      <t>3</t>
    </r>
  </si>
  <si>
    <r>
      <t>K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O</t>
    </r>
  </si>
  <si>
    <r>
      <t>Na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O</t>
    </r>
  </si>
  <si>
    <t>CHEMICAL ANALYSIS (%)</t>
  </si>
  <si>
    <t>Cl</t>
  </si>
  <si>
    <t>Time</t>
  </si>
  <si>
    <t>DATE</t>
  </si>
  <si>
    <t>Month:</t>
  </si>
  <si>
    <t>Sand Weigh Feeder Logsheet</t>
  </si>
  <si>
    <t>Avg.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</si>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</sst>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;@"/>
    <numFmt numFmtId="165" formatCode="[$-409]d\-mmm\-yyyy;@"/>
    <numFmt numFmtId="166" formatCode="h:mm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7" fillId="0" borderId="0"/>
    <xf numFmtId="165" fontId="7" fillId="0" borderId="0"/>
    <xf numFmtId="165" fontId="8" fillId="0" borderId="0"/>
  </cellStyleXfs>
  <cellXfs count="125">
    <xf numFmtId="0" fontId="0" fillId="0" borderId="0" xfId="0"/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20" fontId="2" fillId="0" borderId="2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16" fontId="2" fillId="0" borderId="22" xfId="0" applyNumberFormat="1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/>
    </xf>
    <xf numFmtId="14" fontId="2" fillId="0" borderId="22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2" fontId="3" fillId="2" borderId="37" xfId="0" applyNumberFormat="1" applyFont="1" applyFill="1" applyBorder="1" applyAlignment="1">
      <alignment horizontal="center" vertical="center"/>
    </xf>
    <xf numFmtId="2" fontId="3" fillId="2" borderId="39" xfId="0" applyNumberFormat="1" applyFont="1" applyFill="1" applyBorder="1" applyAlignment="1">
      <alignment horizontal="center" vertical="center"/>
    </xf>
    <xf numFmtId="2" fontId="3" fillId="2" borderId="40" xfId="0" applyNumberFormat="1" applyFont="1" applyFill="1" applyBorder="1" applyAlignment="1">
      <alignment horizontal="center" vertical="center"/>
    </xf>
    <xf numFmtId="2" fontId="3" fillId="2" borderId="4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2" fillId="0" borderId="62" xfId="0" applyNumberFormat="1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vertical="center"/>
    </xf>
    <xf numFmtId="20" fontId="2" fillId="0" borderId="45" xfId="0" applyNumberFormat="1" applyFont="1" applyBorder="1" applyAlignment="1">
      <alignment vertical="center"/>
    </xf>
    <xf numFmtId="16" fontId="2" fillId="0" borderId="64" xfId="0" applyNumberFormat="1" applyFont="1" applyBorder="1" applyAlignment="1">
      <alignment horizontal="center" vertical="center" wrapText="1"/>
    </xf>
    <xf numFmtId="2" fontId="0" fillId="3" borderId="45" xfId="0" applyNumberFormat="1" applyFill="1" applyBorder="1" applyAlignment="1">
      <alignment horizontal="center" vertical="center"/>
    </xf>
    <xf numFmtId="20" fontId="0" fillId="3" borderId="45" xfId="0" applyNumberFormat="1" applyFill="1" applyBorder="1" applyAlignment="1">
      <alignment horizontal="center" vertical="center"/>
    </xf>
    <xf numFmtId="0" fontId="0" fillId="3" borderId="0" xfId="0" applyFill="1"/>
    <xf numFmtId="0" fontId="1" fillId="3" borderId="27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shrinkToFit="1"/>
    </xf>
    <xf numFmtId="0" fontId="1" fillId="3" borderId="26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164" fontId="0" fillId="3" borderId="46" xfId="0" applyNumberFormat="1" applyFill="1" applyBorder="1" applyAlignment="1">
      <alignment horizontal="center" vertical="center" wrapText="1"/>
    </xf>
    <xf numFmtId="2" fontId="2" fillId="3" borderId="33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" fillId="3" borderId="42" xfId="0" applyNumberFormat="1" applyFont="1" applyFill="1" applyBorder="1" applyAlignment="1">
      <alignment horizontal="center" vertical="center"/>
    </xf>
    <xf numFmtId="2" fontId="2" fillId="3" borderId="54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2" fontId="2" fillId="3" borderId="11" xfId="0" applyNumberFormat="1" applyFont="1" applyFill="1" applyBorder="1" applyAlignment="1">
      <alignment horizontal="center" vertical="center"/>
    </xf>
    <xf numFmtId="2" fontId="2" fillId="3" borderId="39" xfId="0" applyNumberFormat="1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15" xfId="0" applyNumberFormat="1" applyFont="1" applyFill="1" applyBorder="1" applyAlignment="1">
      <alignment horizontal="center" vertical="center"/>
    </xf>
    <xf numFmtId="2" fontId="2" fillId="3" borderId="40" xfId="0" applyNumberFormat="1" applyFont="1" applyFill="1" applyBorder="1" applyAlignment="1">
      <alignment horizontal="center" vertical="center"/>
    </xf>
    <xf numFmtId="2" fontId="2" fillId="3" borderId="16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2" fontId="2" fillId="3" borderId="32" xfId="0" applyNumberFormat="1" applyFont="1" applyFill="1" applyBorder="1" applyAlignment="1">
      <alignment horizontal="center" vertical="center"/>
    </xf>
    <xf numFmtId="2" fontId="2" fillId="3" borderId="43" xfId="0" applyNumberFormat="1" applyFont="1" applyFill="1" applyBorder="1" applyAlignment="1">
      <alignment horizontal="center" vertical="center"/>
    </xf>
    <xf numFmtId="2" fontId="2" fillId="3" borderId="13" xfId="0" applyNumberFormat="1" applyFont="1" applyFill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6" fontId="0" fillId="3" borderId="59" xfId="0" applyNumberFormat="1" applyFill="1" applyBorder="1" applyAlignment="1">
      <alignment horizontal="center" vertical="center" wrapText="1"/>
    </xf>
    <xf numFmtId="2" fontId="2" fillId="3" borderId="14" xfId="0" applyNumberFormat="1" applyFont="1" applyFill="1" applyBorder="1" applyAlignment="1">
      <alignment horizontal="center" vertical="center"/>
    </xf>
    <xf numFmtId="2" fontId="2" fillId="3" borderId="28" xfId="0" applyNumberFormat="1" applyFont="1" applyFill="1" applyBorder="1" applyAlignment="1">
      <alignment horizontal="center" vertical="center"/>
    </xf>
    <xf numFmtId="2" fontId="2" fillId="3" borderId="44" xfId="0" applyNumberFormat="1" applyFont="1" applyFill="1" applyBorder="1" applyAlignment="1">
      <alignment horizontal="center" vertical="center"/>
    </xf>
    <xf numFmtId="166" fontId="0" fillId="3" borderId="19" xfId="0" applyNumberFormat="1" applyFill="1" applyBorder="1" applyAlignment="1">
      <alignment horizontal="center" vertical="center" wrapText="1"/>
    </xf>
    <xf numFmtId="164" fontId="0" fillId="3" borderId="57" xfId="0" applyNumberFormat="1" applyFill="1" applyBorder="1" applyAlignment="1">
      <alignment horizontal="center" vertical="center" wrapText="1"/>
    </xf>
    <xf numFmtId="2" fontId="2" fillId="3" borderId="55" xfId="0" applyNumberFormat="1" applyFont="1" applyFill="1" applyBorder="1" applyAlignment="1">
      <alignment horizontal="center" vertical="center"/>
    </xf>
    <xf numFmtId="2" fontId="2" fillId="3" borderId="56" xfId="0" applyNumberFormat="1" applyFont="1" applyFill="1" applyBorder="1" applyAlignment="1">
      <alignment horizontal="center" vertical="center"/>
    </xf>
    <xf numFmtId="2" fontId="2" fillId="3" borderId="57" xfId="0" applyNumberFormat="1" applyFont="1" applyFill="1" applyBorder="1" applyAlignment="1">
      <alignment horizontal="center" vertical="center"/>
    </xf>
    <xf numFmtId="2" fontId="2" fillId="3" borderId="58" xfId="0" applyNumberFormat="1" applyFont="1" applyFill="1" applyBorder="1" applyAlignment="1">
      <alignment horizontal="center" vertical="center"/>
    </xf>
    <xf numFmtId="2" fontId="0" fillId="3" borderId="49" xfId="0" applyNumberForma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2" fontId="3" fillId="3" borderId="14" xfId="0" applyNumberFormat="1" applyFont="1" applyFill="1" applyBorder="1" applyAlignment="1">
      <alignment horizontal="center" vertical="center"/>
    </xf>
    <xf numFmtId="2" fontId="3" fillId="3" borderId="4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3" borderId="40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64" fontId="0" fillId="3" borderId="67" xfId="0" applyNumberForma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39" xfId="0" applyNumberFormat="1" applyFont="1" applyFill="1" applyBorder="1" applyAlignment="1">
      <alignment horizontal="center" vertical="center"/>
    </xf>
    <xf numFmtId="20" fontId="2" fillId="3" borderId="68" xfId="0" applyNumberFormat="1" applyFont="1" applyFill="1" applyBorder="1" applyAlignment="1">
      <alignment horizontal="center" vertical="center"/>
    </xf>
    <xf numFmtId="166" fontId="2" fillId="3" borderId="69" xfId="0" applyNumberFormat="1" applyFont="1" applyFill="1" applyBorder="1" applyAlignment="1">
      <alignment horizontal="center" vertical="center"/>
    </xf>
    <xf numFmtId="2" fontId="2" fillId="3" borderId="70" xfId="0" applyNumberFormat="1" applyFont="1" applyFill="1" applyBorder="1" applyAlignment="1">
      <alignment horizontal="center" vertical="center"/>
    </xf>
    <xf numFmtId="2" fontId="2" fillId="3" borderId="71" xfId="0" applyNumberFormat="1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 wrapText="1"/>
    </xf>
    <xf numFmtId="0" fontId="1" fillId="3" borderId="50" xfId="0" applyFont="1" applyFill="1" applyBorder="1" applyAlignment="1">
      <alignment vertical="center" wrapText="1"/>
    </xf>
    <xf numFmtId="0" fontId="1" fillId="3" borderId="47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 wrapText="1"/>
    </xf>
    <xf numFmtId="0" fontId="1" fillId="3" borderId="5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65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" fontId="2" fillId="0" borderId="29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6" xfId="0" applyFont="1" applyBorder="1" applyAlignment="1">
      <alignment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</cellXfs>
  <cellStyles count="4">
    <cellStyle name="Normal" xfId="0" builtinId="0"/>
    <cellStyle name="Normal 10" xfId="2"/>
    <cellStyle name="Normal 2" xfId="3"/>
    <cellStyle name="Normal 8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126"/>
  <sheetViews>
    <sheetView tabSelected="1" zoomScale="87" zoomScaleNormal="87" workbookViewId="0">
      <selection activeCell="P4" sqref="P4"/>
    </sheetView>
  </sheetViews>
  <sheetFormatPr defaultColWidth="9.109375" defaultRowHeight="14.4" x14ac:dyDescent="0.3"/>
  <cols>
    <col min="1" max="1" width="11.33203125" style="42" customWidth="1"/>
    <col min="2" max="12" width="9" style="42" customWidth="1"/>
    <col min="13" max="16384" width="9.109375" style="42"/>
  </cols>
  <sheetData>
    <row r="1" spans="1:15" ht="24.75" customHeight="1" thickBot="1" x14ac:dyDescent="0.35">
      <c r="A1" s="103" t="s">
        <v>18</v>
      </c>
      <c r="B1" s="43" t="s">
        <v>5</v>
      </c>
      <c r="C1" s="44" t="s">
        <v>6</v>
      </c>
      <c r="D1" s="44" t="s">
        <v>7</v>
      </c>
      <c r="E1" s="44" t="s">
        <v>0</v>
      </c>
      <c r="F1" s="44" t="s">
        <v>1</v>
      </c>
      <c r="G1" s="44" t="s">
        <v>8</v>
      </c>
      <c r="H1" s="45" t="s">
        <v>10</v>
      </c>
      <c r="I1" s="45" t="s">
        <v>9</v>
      </c>
      <c r="J1" s="46" t="s">
        <v>12</v>
      </c>
      <c r="K1" s="44" t="s">
        <v>2</v>
      </c>
      <c r="L1" s="47" t="s">
        <v>3</v>
      </c>
    </row>
    <row r="2" spans="1:15" ht="24.75" customHeight="1" thickTop="1" x14ac:dyDescent="0.3">
      <c r="A2" s="41">
        <v>0.33333333333333331</v>
      </c>
      <c r="B2" s="49">
        <v>48.53</v>
      </c>
      <c r="C2" s="49">
        <v>15.62</v>
      </c>
      <c r="D2" s="49">
        <v>18.920000000000002</v>
      </c>
      <c r="E2" s="49">
        <v>2.92</v>
      </c>
      <c r="F2" s="49">
        <v>1.01</v>
      </c>
      <c r="G2" s="49">
        <v>0.15</v>
      </c>
      <c r="H2" s="49">
        <v>0.13</v>
      </c>
      <c r="I2" s="49">
        <v>0.5</v>
      </c>
      <c r="J2" s="50">
        <v>0.09</v>
      </c>
      <c r="K2" s="51">
        <f t="shared" ref="K2:K35" si="0">B2/(C2+D2)</f>
        <v>1.405037637521714</v>
      </c>
      <c r="L2" s="52">
        <f t="shared" ref="L2:L35" si="1">C2/D2</f>
        <v>0.82558139534883712</v>
      </c>
    </row>
    <row r="3" spans="1:15" ht="24.75" customHeight="1" x14ac:dyDescent="0.3">
      <c r="A3" s="41">
        <v>0.83333333333333337</v>
      </c>
      <c r="B3" s="53">
        <v>51.4</v>
      </c>
      <c r="C3" s="53">
        <v>17.32</v>
      </c>
      <c r="D3" s="53">
        <v>14.43</v>
      </c>
      <c r="E3" s="53">
        <v>3.36</v>
      </c>
      <c r="F3" s="53">
        <v>1.02</v>
      </c>
      <c r="G3" s="53">
        <v>0.81</v>
      </c>
      <c r="H3" s="53">
        <v>0.14000000000000001</v>
      </c>
      <c r="I3" s="53">
        <v>0.54</v>
      </c>
      <c r="J3" s="54">
        <v>0.1</v>
      </c>
      <c r="K3" s="55">
        <f t="shared" si="0"/>
        <v>1.6188976377952755</v>
      </c>
      <c r="L3" s="56">
        <f t="shared" si="1"/>
        <v>1.2002772002772004</v>
      </c>
    </row>
    <row r="4" spans="1:15" ht="24.75" customHeight="1" x14ac:dyDescent="0.3">
      <c r="A4" s="41">
        <v>0</v>
      </c>
      <c r="B4" s="53">
        <v>55.65</v>
      </c>
      <c r="C4" s="53">
        <v>21.88</v>
      </c>
      <c r="D4" s="53">
        <v>14.62</v>
      </c>
      <c r="E4" s="53">
        <v>0.53</v>
      </c>
      <c r="F4" s="53">
        <v>0.31</v>
      </c>
      <c r="G4" s="53">
        <v>0.12</v>
      </c>
      <c r="H4" s="53">
        <v>0.1</v>
      </c>
      <c r="I4" s="53">
        <v>7.0000000000000007E-2</v>
      </c>
      <c r="J4" s="54">
        <v>0.1</v>
      </c>
      <c r="K4" s="55">
        <f t="shared" si="0"/>
        <v>1.5246575342465754</v>
      </c>
      <c r="L4" s="56">
        <f t="shared" si="1"/>
        <v>1.4965800273597811</v>
      </c>
    </row>
    <row r="5" spans="1:15" ht="24.75" customHeight="1" x14ac:dyDescent="0.3">
      <c r="A5" s="41">
        <v>0.33333333333333331</v>
      </c>
      <c r="B5" s="53">
        <v>50.09</v>
      </c>
      <c r="C5" s="53">
        <v>21.72</v>
      </c>
      <c r="D5" s="53">
        <v>13.65</v>
      </c>
      <c r="E5" s="53">
        <v>2.33</v>
      </c>
      <c r="F5" s="53">
        <v>0.39</v>
      </c>
      <c r="G5" s="53">
        <v>0.13</v>
      </c>
      <c r="H5" s="53">
        <v>0.11</v>
      </c>
      <c r="I5" s="53">
        <v>0.13</v>
      </c>
      <c r="J5" s="54">
        <v>0.1</v>
      </c>
      <c r="K5" s="57">
        <f t="shared" si="0"/>
        <v>1.4161718970879278</v>
      </c>
      <c r="L5" s="56">
        <f t="shared" si="1"/>
        <v>1.5912087912087911</v>
      </c>
    </row>
    <row r="6" spans="1:15" ht="24.75" customHeight="1" x14ac:dyDescent="0.3">
      <c r="A6" s="41">
        <v>0.66666666666666663</v>
      </c>
      <c r="B6" s="58">
        <v>51.27</v>
      </c>
      <c r="C6" s="59">
        <v>23.12</v>
      </c>
      <c r="D6" s="59">
        <v>12.62</v>
      </c>
      <c r="E6" s="59">
        <v>0.84</v>
      </c>
      <c r="F6" s="59">
        <v>0.41</v>
      </c>
      <c r="G6" s="59">
        <v>0.12</v>
      </c>
      <c r="H6" s="59">
        <v>0.08</v>
      </c>
      <c r="I6" s="59">
        <v>0.13</v>
      </c>
      <c r="J6" s="60">
        <v>0.11</v>
      </c>
      <c r="K6" s="57">
        <f t="shared" si="0"/>
        <v>1.4345271404588695</v>
      </c>
      <c r="L6" s="61">
        <f t="shared" si="1"/>
        <v>1.8320126782884312</v>
      </c>
    </row>
    <row r="7" spans="1:15" ht="24.75" customHeight="1" x14ac:dyDescent="0.3">
      <c r="A7" s="41">
        <v>0</v>
      </c>
      <c r="B7" s="58">
        <v>52.36</v>
      </c>
      <c r="C7" s="58">
        <v>21.58</v>
      </c>
      <c r="D7" s="58">
        <v>17.440000000000001</v>
      </c>
      <c r="E7" s="58">
        <v>1.21</v>
      </c>
      <c r="F7" s="58">
        <v>0.43</v>
      </c>
      <c r="G7" s="58">
        <v>0.11</v>
      </c>
      <c r="H7" s="58">
        <v>0.1</v>
      </c>
      <c r="I7" s="58">
        <v>0.17</v>
      </c>
      <c r="J7" s="62">
        <v>0.09</v>
      </c>
      <c r="K7" s="57">
        <f t="shared" si="0"/>
        <v>1.3418759610456177</v>
      </c>
      <c r="L7" s="61">
        <f t="shared" si="1"/>
        <v>1.2373853211009171</v>
      </c>
    </row>
    <row r="8" spans="1:15" ht="21.75" customHeight="1" x14ac:dyDescent="0.3">
      <c r="A8" s="41">
        <v>0.33333333333333331</v>
      </c>
      <c r="B8" s="49">
        <v>55.06</v>
      </c>
      <c r="C8" s="49">
        <v>20.84</v>
      </c>
      <c r="D8" s="49">
        <v>15.85</v>
      </c>
      <c r="E8" s="49">
        <v>0.83</v>
      </c>
      <c r="F8" s="49">
        <v>0.41</v>
      </c>
      <c r="G8" s="49">
        <v>0.09</v>
      </c>
      <c r="H8" s="49">
        <v>0.09</v>
      </c>
      <c r="I8" s="49">
        <v>0.16</v>
      </c>
      <c r="J8" s="50">
        <v>0.09</v>
      </c>
      <c r="K8" s="51">
        <f t="shared" si="0"/>
        <v>1.5006813845734535</v>
      </c>
      <c r="L8" s="52">
        <f t="shared" si="1"/>
        <v>1.3148264984227129</v>
      </c>
    </row>
    <row r="9" spans="1:15" ht="22.5" customHeight="1" x14ac:dyDescent="0.3">
      <c r="A9" s="41">
        <v>0.66666666666666663</v>
      </c>
      <c r="B9" s="53">
        <v>55.25</v>
      </c>
      <c r="C9" s="63">
        <v>20.5</v>
      </c>
      <c r="D9" s="63">
        <v>16.22</v>
      </c>
      <c r="E9" s="63">
        <v>0.79</v>
      </c>
      <c r="F9" s="63">
        <v>0.43</v>
      </c>
      <c r="G9" s="63">
        <v>0.19</v>
      </c>
      <c r="H9" s="63">
        <v>0.08</v>
      </c>
      <c r="I9" s="63">
        <v>0.15</v>
      </c>
      <c r="J9" s="64">
        <v>0.1</v>
      </c>
      <c r="K9" s="57">
        <f t="shared" si="0"/>
        <v>1.5046296296296298</v>
      </c>
      <c r="L9" s="56">
        <f t="shared" si="1"/>
        <v>1.2638717632552405</v>
      </c>
      <c r="M9" s="65"/>
      <c r="N9" s="65"/>
      <c r="O9" s="65"/>
    </row>
    <row r="10" spans="1:15" ht="20.25" customHeight="1" x14ac:dyDescent="0.3">
      <c r="A10" s="41">
        <v>0</v>
      </c>
      <c r="B10" s="53">
        <v>54.48</v>
      </c>
      <c r="C10" s="63">
        <v>21.62</v>
      </c>
      <c r="D10" s="63">
        <v>16.71</v>
      </c>
      <c r="E10" s="63">
        <v>0.57999999999999996</v>
      </c>
      <c r="F10" s="63">
        <v>0.41</v>
      </c>
      <c r="G10" s="63">
        <v>0.09</v>
      </c>
      <c r="H10" s="63">
        <v>0.1</v>
      </c>
      <c r="I10" s="63">
        <v>0.14000000000000001</v>
      </c>
      <c r="J10" s="64">
        <v>0.09</v>
      </c>
      <c r="K10" s="57">
        <f t="shared" si="0"/>
        <v>1.4213409861727107</v>
      </c>
      <c r="L10" s="56">
        <f t="shared" si="1"/>
        <v>1.293836026331538</v>
      </c>
    </row>
    <row r="11" spans="1:15" ht="21" customHeight="1" x14ac:dyDescent="0.3">
      <c r="A11" s="41">
        <v>0.66666666666666663</v>
      </c>
      <c r="B11" s="53">
        <v>54.43</v>
      </c>
      <c r="C11" s="63">
        <v>22.02</v>
      </c>
      <c r="D11" s="63">
        <v>12.68</v>
      </c>
      <c r="E11" s="63">
        <v>0.68</v>
      </c>
      <c r="F11" s="63">
        <v>0.4</v>
      </c>
      <c r="G11" s="63">
        <v>0.1</v>
      </c>
      <c r="H11" s="63">
        <v>0.11</v>
      </c>
      <c r="I11" s="63">
        <v>0.14000000000000001</v>
      </c>
      <c r="J11" s="64">
        <v>0.1</v>
      </c>
      <c r="K11" s="57">
        <f t="shared" si="0"/>
        <v>1.5685878962536022</v>
      </c>
      <c r="L11" s="56">
        <f t="shared" si="1"/>
        <v>1.7365930599369086</v>
      </c>
    </row>
    <row r="12" spans="1:15" ht="23.25" customHeight="1" x14ac:dyDescent="0.3">
      <c r="A12" s="41">
        <v>0</v>
      </c>
      <c r="B12" s="58">
        <v>54.79</v>
      </c>
      <c r="C12" s="59">
        <v>21.62</v>
      </c>
      <c r="D12" s="59">
        <v>15</v>
      </c>
      <c r="E12" s="59">
        <v>0.67</v>
      </c>
      <c r="F12" s="59">
        <v>0.42</v>
      </c>
      <c r="G12" s="59">
        <v>0.08</v>
      </c>
      <c r="H12" s="59">
        <v>0.1</v>
      </c>
      <c r="I12" s="59">
        <v>0.16</v>
      </c>
      <c r="J12" s="60">
        <v>0.1</v>
      </c>
      <c r="K12" s="57">
        <f t="shared" si="0"/>
        <v>1.4961769524849806</v>
      </c>
      <c r="L12" s="61">
        <f t="shared" si="1"/>
        <v>1.4413333333333334</v>
      </c>
    </row>
    <row r="13" spans="1:15" ht="19.5" customHeight="1" x14ac:dyDescent="0.3">
      <c r="A13" s="41">
        <v>0.33333333333333331</v>
      </c>
      <c r="B13" s="49">
        <v>57.9</v>
      </c>
      <c r="C13" s="66">
        <v>18.05</v>
      </c>
      <c r="D13" s="66">
        <v>14.55</v>
      </c>
      <c r="E13" s="66">
        <v>1.87</v>
      </c>
      <c r="F13" s="66">
        <v>0.49</v>
      </c>
      <c r="G13" s="66">
        <v>0.12</v>
      </c>
      <c r="H13" s="66">
        <v>0.09</v>
      </c>
      <c r="I13" s="66">
        <v>0.2</v>
      </c>
      <c r="J13" s="67">
        <v>0.11</v>
      </c>
      <c r="K13" s="68">
        <f t="shared" si="0"/>
        <v>1.7760736196319018</v>
      </c>
      <c r="L13" s="52">
        <f t="shared" si="1"/>
        <v>1.2405498281786942</v>
      </c>
    </row>
    <row r="14" spans="1:15" ht="23.25" customHeight="1" x14ac:dyDescent="0.3">
      <c r="A14" s="41">
        <v>0.66666666666666663</v>
      </c>
      <c r="B14" s="53">
        <v>55.82</v>
      </c>
      <c r="C14" s="63">
        <v>20.88</v>
      </c>
      <c r="D14" s="63">
        <v>12.09</v>
      </c>
      <c r="E14" s="63">
        <v>0.87</v>
      </c>
      <c r="F14" s="63">
        <v>0.44</v>
      </c>
      <c r="G14" s="63">
        <v>0.28999999999999998</v>
      </c>
      <c r="H14" s="63">
        <v>0.1</v>
      </c>
      <c r="I14" s="63">
        <v>0.18</v>
      </c>
      <c r="J14" s="64">
        <v>0.1</v>
      </c>
      <c r="K14" s="57">
        <f t="shared" si="0"/>
        <v>1.6930542917804066</v>
      </c>
      <c r="L14" s="56">
        <f t="shared" si="1"/>
        <v>1.727047146401985</v>
      </c>
    </row>
    <row r="15" spans="1:15" ht="22.5" customHeight="1" x14ac:dyDescent="0.3">
      <c r="A15" s="41">
        <v>0</v>
      </c>
      <c r="B15" s="53">
        <v>52.29</v>
      </c>
      <c r="C15" s="63">
        <v>20.49</v>
      </c>
      <c r="D15" s="63">
        <v>18.2</v>
      </c>
      <c r="E15" s="63">
        <v>0.83</v>
      </c>
      <c r="F15" s="63">
        <v>0.42</v>
      </c>
      <c r="G15" s="63">
        <v>0.11</v>
      </c>
      <c r="H15" s="63">
        <v>0.1</v>
      </c>
      <c r="I15" s="63">
        <v>0.17</v>
      </c>
      <c r="J15" s="64">
        <v>0.09</v>
      </c>
      <c r="K15" s="57">
        <f t="shared" si="0"/>
        <v>1.3515120186094598</v>
      </c>
      <c r="L15" s="56">
        <f t="shared" si="1"/>
        <v>1.1258241758241758</v>
      </c>
    </row>
    <row r="16" spans="1:15" ht="21.75" customHeight="1" x14ac:dyDescent="0.3">
      <c r="A16" s="41">
        <v>0.33333333333333331</v>
      </c>
      <c r="B16" s="58">
        <v>60.5</v>
      </c>
      <c r="C16" s="58">
        <v>19.989999999999998</v>
      </c>
      <c r="D16" s="59">
        <v>11.82</v>
      </c>
      <c r="E16" s="59">
        <v>0.95</v>
      </c>
      <c r="F16" s="59">
        <v>0.38</v>
      </c>
      <c r="G16" s="59">
        <v>0.12</v>
      </c>
      <c r="H16" s="59">
        <v>0.09</v>
      </c>
      <c r="I16" s="59">
        <v>0.11</v>
      </c>
      <c r="J16" s="59">
        <v>0.1</v>
      </c>
      <c r="K16" s="57">
        <f t="shared" si="0"/>
        <v>1.9019176359635335</v>
      </c>
      <c r="L16" s="56">
        <f t="shared" si="1"/>
        <v>1.6912013536379016</v>
      </c>
    </row>
    <row r="17" spans="1:12" ht="21" customHeight="1" x14ac:dyDescent="0.3">
      <c r="A17" s="41">
        <v>0.66666666666666663</v>
      </c>
      <c r="B17" s="58">
        <v>57.62</v>
      </c>
      <c r="C17" s="59">
        <v>21.34</v>
      </c>
      <c r="D17" s="59">
        <v>8.1</v>
      </c>
      <c r="E17" s="59">
        <v>1.17</v>
      </c>
      <c r="F17" s="59">
        <v>0.4</v>
      </c>
      <c r="G17" s="59">
        <v>0.15</v>
      </c>
      <c r="H17" s="59">
        <v>0.1</v>
      </c>
      <c r="I17" s="59">
        <v>0.11</v>
      </c>
      <c r="J17" s="69">
        <v>0.1</v>
      </c>
      <c r="K17" s="57">
        <f t="shared" si="0"/>
        <v>1.9572010869565217</v>
      </c>
      <c r="L17" s="56">
        <f t="shared" si="1"/>
        <v>2.634567901234568</v>
      </c>
    </row>
    <row r="18" spans="1:12" ht="24.75" customHeight="1" x14ac:dyDescent="0.3">
      <c r="A18" s="41">
        <v>0</v>
      </c>
      <c r="B18" s="53">
        <v>60.17</v>
      </c>
      <c r="C18" s="53">
        <v>19.899999999999999</v>
      </c>
      <c r="D18" s="53">
        <v>12.39</v>
      </c>
      <c r="E18" s="53">
        <v>0.62</v>
      </c>
      <c r="F18" s="53">
        <v>0.37</v>
      </c>
      <c r="G18" s="53">
        <v>0.18</v>
      </c>
      <c r="H18" s="53">
        <v>0.09</v>
      </c>
      <c r="I18" s="53">
        <v>0.11</v>
      </c>
      <c r="J18" s="54">
        <v>0.09</v>
      </c>
      <c r="K18" s="55">
        <f t="shared" ref="K18:K32" si="2">B18/(C18+D18)</f>
        <v>1.8634252090430474</v>
      </c>
      <c r="L18" s="56">
        <f t="shared" ref="L18:L32" si="3">C18/D18</f>
        <v>1.6061339790153348</v>
      </c>
    </row>
    <row r="19" spans="1:12" ht="24.75" customHeight="1" x14ac:dyDescent="0.3">
      <c r="A19" s="41">
        <v>4.1666666666666699E-2</v>
      </c>
      <c r="B19" s="53">
        <v>60.4</v>
      </c>
      <c r="C19" s="63">
        <v>19.57</v>
      </c>
      <c r="D19" s="63">
        <v>12.57</v>
      </c>
      <c r="E19" s="63">
        <v>0.6</v>
      </c>
      <c r="F19" s="63">
        <v>0.39</v>
      </c>
      <c r="G19" s="63">
        <v>0.09</v>
      </c>
      <c r="H19" s="63">
        <v>0.1</v>
      </c>
      <c r="I19" s="63">
        <v>0.1</v>
      </c>
      <c r="J19" s="64">
        <v>0.1</v>
      </c>
      <c r="K19" s="55">
        <f t="shared" si="2"/>
        <v>1.8792781580584941</v>
      </c>
      <c r="L19" s="56">
        <f t="shared" si="3"/>
        <v>1.5568814638027049</v>
      </c>
    </row>
    <row r="20" spans="1:12" ht="24.75" customHeight="1" x14ac:dyDescent="0.3">
      <c r="A20" s="41">
        <v>0.33333333333333331</v>
      </c>
      <c r="B20" s="57">
        <v>59.1</v>
      </c>
      <c r="C20" s="59">
        <v>20.57</v>
      </c>
      <c r="D20" s="59">
        <v>9.39</v>
      </c>
      <c r="E20" s="59">
        <v>0.74</v>
      </c>
      <c r="F20" s="59">
        <v>0.38</v>
      </c>
      <c r="G20" s="59">
        <v>0.08</v>
      </c>
      <c r="H20" s="59">
        <v>0.1</v>
      </c>
      <c r="I20" s="59">
        <v>0.1</v>
      </c>
      <c r="J20" s="69">
        <v>0.11</v>
      </c>
      <c r="K20" s="57">
        <f t="shared" si="2"/>
        <v>1.9726301735647529</v>
      </c>
      <c r="L20" s="56">
        <f t="shared" si="3"/>
        <v>2.1906283280085197</v>
      </c>
    </row>
    <row r="21" spans="1:12" ht="24.75" customHeight="1" x14ac:dyDescent="0.3">
      <c r="A21" s="41">
        <v>0.66666666666666663</v>
      </c>
      <c r="B21" s="57">
        <v>56.16</v>
      </c>
      <c r="C21" s="59">
        <v>22.12</v>
      </c>
      <c r="D21" s="59">
        <v>8.89</v>
      </c>
      <c r="E21" s="59">
        <v>0.63</v>
      </c>
      <c r="F21" s="59">
        <v>0.38</v>
      </c>
      <c r="G21" s="59">
        <v>0.08</v>
      </c>
      <c r="H21" s="59">
        <v>0.1</v>
      </c>
      <c r="I21" s="59">
        <v>0.11</v>
      </c>
      <c r="J21" s="69">
        <v>0.11</v>
      </c>
      <c r="K21" s="57">
        <f t="shared" si="2"/>
        <v>1.8110287004192194</v>
      </c>
      <c r="L21" s="61">
        <f t="shared" si="3"/>
        <v>2.4881889763779528</v>
      </c>
    </row>
    <row r="22" spans="1:12" ht="24.75" customHeight="1" x14ac:dyDescent="0.3">
      <c r="A22" s="41">
        <v>0</v>
      </c>
      <c r="B22" s="58">
        <v>61.97</v>
      </c>
      <c r="C22" s="58">
        <v>20.76</v>
      </c>
      <c r="D22" s="58">
        <v>9.2200000000000006</v>
      </c>
      <c r="E22" s="58">
        <v>0.67</v>
      </c>
      <c r="F22" s="58">
        <v>0.34</v>
      </c>
      <c r="G22" s="58">
        <v>0.08</v>
      </c>
      <c r="H22" s="58">
        <v>0.09</v>
      </c>
      <c r="I22" s="58">
        <v>0.08</v>
      </c>
      <c r="J22" s="62">
        <v>0.09</v>
      </c>
      <c r="K22" s="57">
        <f t="shared" si="2"/>
        <v>2.0670446964643094</v>
      </c>
      <c r="L22" s="61">
        <f t="shared" si="3"/>
        <v>2.2516268980477223</v>
      </c>
    </row>
    <row r="23" spans="1:12" ht="21.75" customHeight="1" x14ac:dyDescent="0.3">
      <c r="A23" s="41">
        <v>0.33333333333333331</v>
      </c>
      <c r="B23" s="49">
        <v>58.59</v>
      </c>
      <c r="C23" s="49">
        <v>20.32</v>
      </c>
      <c r="D23" s="49">
        <v>12.02</v>
      </c>
      <c r="E23" s="49">
        <v>0.98</v>
      </c>
      <c r="F23" s="49">
        <v>0.35</v>
      </c>
      <c r="G23" s="49">
        <v>0.08</v>
      </c>
      <c r="H23" s="49">
        <v>0.1</v>
      </c>
      <c r="I23" s="49">
        <v>7.0000000000000007E-2</v>
      </c>
      <c r="J23" s="50">
        <v>0.1</v>
      </c>
      <c r="K23" s="51">
        <f t="shared" si="2"/>
        <v>1.8116883116883116</v>
      </c>
      <c r="L23" s="52">
        <f t="shared" si="3"/>
        <v>1.6905158069883528</v>
      </c>
    </row>
    <row r="24" spans="1:12" ht="22.5" customHeight="1" x14ac:dyDescent="0.3">
      <c r="A24" s="41">
        <v>0.66666666666666663</v>
      </c>
      <c r="B24" s="53">
        <v>62.01</v>
      </c>
      <c r="C24" s="63">
        <v>20.67</v>
      </c>
      <c r="D24" s="63">
        <v>10.82</v>
      </c>
      <c r="E24" s="63">
        <v>0.46</v>
      </c>
      <c r="F24" s="63">
        <v>0.34</v>
      </c>
      <c r="G24" s="63">
        <v>7.0000000000000007E-2</v>
      </c>
      <c r="H24" s="63">
        <v>0.1</v>
      </c>
      <c r="I24" s="63">
        <v>0.08</v>
      </c>
      <c r="J24" s="64">
        <v>0.09</v>
      </c>
      <c r="K24" s="57">
        <f t="shared" si="2"/>
        <v>1.9691965703397902</v>
      </c>
      <c r="L24" s="56">
        <f t="shared" si="3"/>
        <v>1.9103512014787432</v>
      </c>
    </row>
    <row r="25" spans="1:12" ht="20.25" customHeight="1" x14ac:dyDescent="0.3">
      <c r="A25" s="41">
        <v>0</v>
      </c>
      <c r="B25" s="53">
        <v>57.95</v>
      </c>
      <c r="C25" s="63">
        <v>20.96</v>
      </c>
      <c r="D25" s="63">
        <v>13.61</v>
      </c>
      <c r="E25" s="63">
        <v>0.51</v>
      </c>
      <c r="F25" s="63">
        <v>0.41</v>
      </c>
      <c r="G25" s="63">
        <v>7.0000000000000007E-2</v>
      </c>
      <c r="H25" s="63">
        <v>0.11</v>
      </c>
      <c r="I25" s="63">
        <v>0.14000000000000001</v>
      </c>
      <c r="J25" s="64">
        <v>0.11</v>
      </c>
      <c r="K25" s="57">
        <f t="shared" si="2"/>
        <v>1.6763089383858838</v>
      </c>
      <c r="L25" s="56">
        <f t="shared" si="3"/>
        <v>1.5400440852314476</v>
      </c>
    </row>
    <row r="26" spans="1:12" ht="21" customHeight="1" x14ac:dyDescent="0.3">
      <c r="A26" s="41">
        <v>0.33333333333333331</v>
      </c>
      <c r="B26" s="53">
        <v>55.69</v>
      </c>
      <c r="C26" s="63">
        <v>21.62</v>
      </c>
      <c r="D26" s="63">
        <v>12.14</v>
      </c>
      <c r="E26" s="63">
        <v>0.61</v>
      </c>
      <c r="F26" s="63">
        <v>0.42</v>
      </c>
      <c r="G26" s="63">
        <v>0.1</v>
      </c>
      <c r="H26" s="63">
        <v>0.11</v>
      </c>
      <c r="I26" s="63">
        <v>0.15</v>
      </c>
      <c r="J26" s="64">
        <v>0.11</v>
      </c>
      <c r="K26" s="57">
        <f t="shared" si="2"/>
        <v>1.6495853080568716</v>
      </c>
      <c r="L26" s="56">
        <f t="shared" si="3"/>
        <v>1.7808896210873146</v>
      </c>
    </row>
    <row r="27" spans="1:12" ht="23.25" customHeight="1" x14ac:dyDescent="0.3">
      <c r="A27" s="41">
        <v>0.66666666666666663</v>
      </c>
      <c r="B27" s="58">
        <v>57</v>
      </c>
      <c r="C27" s="59">
        <v>20.64</v>
      </c>
      <c r="D27" s="59">
        <v>15.16</v>
      </c>
      <c r="E27" s="59">
        <v>0.51</v>
      </c>
      <c r="F27" s="59">
        <v>0.48</v>
      </c>
      <c r="G27" s="59">
        <v>0.08</v>
      </c>
      <c r="H27" s="59">
        <v>0.12</v>
      </c>
      <c r="I27" s="59">
        <v>0.17</v>
      </c>
      <c r="J27" s="60">
        <v>0.11</v>
      </c>
      <c r="K27" s="57">
        <f t="shared" si="2"/>
        <v>1.5921787709497208</v>
      </c>
      <c r="L27" s="61">
        <f t="shared" si="3"/>
        <v>1.3614775725593669</v>
      </c>
    </row>
    <row r="28" spans="1:12" ht="19.5" customHeight="1" x14ac:dyDescent="0.3">
      <c r="A28" s="41">
        <v>0</v>
      </c>
      <c r="B28" s="49">
        <v>57.04</v>
      </c>
      <c r="C28" s="66">
        <v>20.39</v>
      </c>
      <c r="D28" s="66">
        <v>13.81</v>
      </c>
      <c r="E28" s="66">
        <v>0.61</v>
      </c>
      <c r="F28" s="66">
        <v>0.48</v>
      </c>
      <c r="G28" s="66">
        <v>0.08</v>
      </c>
      <c r="H28" s="66">
        <v>0.11</v>
      </c>
      <c r="I28" s="66">
        <v>0.18</v>
      </c>
      <c r="J28" s="67">
        <v>0.11</v>
      </c>
      <c r="K28" s="68">
        <f t="shared" si="2"/>
        <v>1.6678362573099415</v>
      </c>
      <c r="L28" s="52">
        <f t="shared" si="3"/>
        <v>1.4764663287472846</v>
      </c>
    </row>
    <row r="29" spans="1:12" ht="23.25" customHeight="1" x14ac:dyDescent="0.3">
      <c r="A29" s="41">
        <v>0.66666666666666663</v>
      </c>
      <c r="B29" s="53">
        <v>57.74</v>
      </c>
      <c r="C29" s="63">
        <v>19.03</v>
      </c>
      <c r="D29" s="63">
        <v>16.510000000000002</v>
      </c>
      <c r="E29" s="63">
        <v>0.48</v>
      </c>
      <c r="F29" s="63">
        <v>0.4</v>
      </c>
      <c r="G29" s="63">
        <v>7.0000000000000007E-2</v>
      </c>
      <c r="H29" s="63">
        <v>0.1</v>
      </c>
      <c r="I29" s="63">
        <v>0.14000000000000001</v>
      </c>
      <c r="J29" s="64">
        <v>0.1</v>
      </c>
      <c r="K29" s="57">
        <f t="shared" si="2"/>
        <v>1.6246482836240852</v>
      </c>
      <c r="L29" s="56">
        <f t="shared" si="3"/>
        <v>1.152634766807995</v>
      </c>
    </row>
    <row r="30" spans="1:12" ht="22.5" customHeight="1" x14ac:dyDescent="0.3">
      <c r="A30" s="41">
        <v>0</v>
      </c>
      <c r="B30" s="53">
        <v>58.02</v>
      </c>
      <c r="C30" s="63">
        <v>21.16</v>
      </c>
      <c r="D30" s="63">
        <v>12.7</v>
      </c>
      <c r="E30" s="63">
        <v>0.54</v>
      </c>
      <c r="F30" s="63">
        <v>0.45</v>
      </c>
      <c r="G30" s="63">
        <v>0.1</v>
      </c>
      <c r="H30" s="63">
        <v>0.11</v>
      </c>
      <c r="I30" s="63">
        <v>0.17</v>
      </c>
      <c r="J30" s="64">
        <v>0.12</v>
      </c>
      <c r="K30" s="57">
        <f t="shared" si="2"/>
        <v>1.713526284701713</v>
      </c>
      <c r="L30" s="56">
        <f t="shared" si="3"/>
        <v>1.6661417322834646</v>
      </c>
    </row>
    <row r="31" spans="1:12" ht="21.75" customHeight="1" x14ac:dyDescent="0.3">
      <c r="A31" s="41">
        <v>0.33333333333333331</v>
      </c>
      <c r="B31" s="53">
        <v>58.16</v>
      </c>
      <c r="C31" s="63">
        <v>20.48</v>
      </c>
      <c r="D31" s="63">
        <v>11.84</v>
      </c>
      <c r="E31" s="63">
        <v>0.6</v>
      </c>
      <c r="F31" s="63">
        <v>0.48</v>
      </c>
      <c r="G31" s="63">
        <v>0.09</v>
      </c>
      <c r="H31" s="63">
        <v>0.12</v>
      </c>
      <c r="I31" s="63">
        <v>0.18</v>
      </c>
      <c r="J31" s="64">
        <v>0.12</v>
      </c>
      <c r="K31" s="57">
        <f t="shared" si="2"/>
        <v>1.7995049504950493</v>
      </c>
      <c r="L31" s="56">
        <f t="shared" si="3"/>
        <v>1.7297297297297298</v>
      </c>
    </row>
    <row r="32" spans="1:12" ht="21" customHeight="1" x14ac:dyDescent="0.3">
      <c r="A32" s="41">
        <v>0.66666666666666663</v>
      </c>
      <c r="B32" s="53">
        <v>59.99</v>
      </c>
      <c r="C32" s="63">
        <v>20.32</v>
      </c>
      <c r="D32" s="63">
        <v>10.59</v>
      </c>
      <c r="E32" s="63">
        <v>0.56999999999999995</v>
      </c>
      <c r="F32" s="63">
        <v>0.45</v>
      </c>
      <c r="G32" s="63">
        <v>0.08</v>
      </c>
      <c r="H32" s="63">
        <v>0.17</v>
      </c>
      <c r="I32" s="63">
        <v>0.17</v>
      </c>
      <c r="J32" s="64">
        <v>0.11</v>
      </c>
      <c r="K32" s="57">
        <f t="shared" si="2"/>
        <v>1.9407958589453251</v>
      </c>
      <c r="L32" s="56">
        <f t="shared" si="3"/>
        <v>1.9187913125590179</v>
      </c>
    </row>
    <row r="33" spans="1:12" ht="24.75" customHeight="1" x14ac:dyDescent="0.3">
      <c r="A33" s="41">
        <v>0</v>
      </c>
      <c r="B33" s="53">
        <v>56.74</v>
      </c>
      <c r="C33" s="53">
        <v>20.18</v>
      </c>
      <c r="D33" s="53">
        <v>15.15</v>
      </c>
      <c r="E33" s="53">
        <v>1.1200000000000001</v>
      </c>
      <c r="F33" s="53">
        <v>0.52</v>
      </c>
      <c r="G33" s="53">
        <v>0.11</v>
      </c>
      <c r="H33" s="53">
        <v>0.11</v>
      </c>
      <c r="I33" s="53">
        <v>0.2</v>
      </c>
      <c r="J33" s="54">
        <v>0.1</v>
      </c>
      <c r="K33" s="55">
        <f t="shared" si="0"/>
        <v>1.6060005660911407</v>
      </c>
      <c r="L33" s="56">
        <f t="shared" si="1"/>
        <v>1.332013201320132</v>
      </c>
    </row>
    <row r="34" spans="1:12" ht="24.75" customHeight="1" x14ac:dyDescent="0.3">
      <c r="A34" s="41">
        <v>0.33333333333333331</v>
      </c>
      <c r="B34" s="53">
        <v>53.67</v>
      </c>
      <c r="C34" s="53">
        <v>21.32</v>
      </c>
      <c r="D34" s="53">
        <v>13.52</v>
      </c>
      <c r="E34" s="53">
        <v>0.75</v>
      </c>
      <c r="F34" s="53">
        <v>0.43</v>
      </c>
      <c r="G34" s="53">
        <v>0.1</v>
      </c>
      <c r="H34" s="53">
        <v>0.1</v>
      </c>
      <c r="I34" s="53">
        <v>0.16</v>
      </c>
      <c r="J34" s="54">
        <v>0.1</v>
      </c>
      <c r="K34" s="55">
        <f t="shared" si="0"/>
        <v>1.540470723306544</v>
      </c>
      <c r="L34" s="56">
        <f t="shared" si="1"/>
        <v>1.5769230769230771</v>
      </c>
    </row>
    <row r="35" spans="1:12" ht="24.75" customHeight="1" x14ac:dyDescent="0.3">
      <c r="A35" s="41">
        <v>0.66666666666666663</v>
      </c>
      <c r="B35" s="53">
        <v>55.173999999999999</v>
      </c>
      <c r="C35" s="63">
        <v>21</v>
      </c>
      <c r="D35" s="63">
        <v>16.63</v>
      </c>
      <c r="E35" s="63">
        <v>0.63</v>
      </c>
      <c r="F35" s="63">
        <v>0.41</v>
      </c>
      <c r="G35" s="63">
        <v>0.08</v>
      </c>
      <c r="H35" s="63">
        <v>0.08</v>
      </c>
      <c r="I35" s="63">
        <v>0.13</v>
      </c>
      <c r="J35" s="64">
        <v>0.09</v>
      </c>
      <c r="K35" s="57">
        <f t="shared" si="0"/>
        <v>1.4662237576401809</v>
      </c>
      <c r="L35" s="56">
        <f t="shared" si="1"/>
        <v>1.2627781118460615</v>
      </c>
    </row>
    <row r="36" spans="1:12" ht="24.75" customHeight="1" x14ac:dyDescent="0.3">
      <c r="A36" s="41">
        <v>0.66666666666666663</v>
      </c>
      <c r="B36" s="58">
        <v>61.49</v>
      </c>
      <c r="C36" s="59">
        <v>19.55</v>
      </c>
      <c r="D36" s="59">
        <v>7.4</v>
      </c>
      <c r="E36" s="59">
        <v>0.93</v>
      </c>
      <c r="F36" s="59">
        <v>0.41</v>
      </c>
      <c r="G36" s="59">
        <v>0.12</v>
      </c>
      <c r="H36" s="59">
        <v>0.09</v>
      </c>
      <c r="I36" s="59">
        <v>0.11</v>
      </c>
      <c r="J36" s="60">
        <v>0.1</v>
      </c>
      <c r="K36" s="57">
        <f t="shared" ref="K36:K39" si="4">B36/(C36+D36)</f>
        <v>2.2816326530612243</v>
      </c>
      <c r="L36" s="61">
        <f t="shared" ref="L36:L39" si="5">C36/D36</f>
        <v>2.6418918918918917</v>
      </c>
    </row>
    <row r="37" spans="1:12" ht="24.75" customHeight="1" x14ac:dyDescent="0.3">
      <c r="A37" s="41">
        <v>0</v>
      </c>
      <c r="B37" s="58">
        <v>63.95</v>
      </c>
      <c r="C37" s="58">
        <v>18.75</v>
      </c>
      <c r="D37" s="58">
        <v>9.5399999999999991</v>
      </c>
      <c r="E37" s="58">
        <v>0.56999999999999995</v>
      </c>
      <c r="F37" s="58">
        <v>0.39</v>
      </c>
      <c r="G37" s="58">
        <v>0.16</v>
      </c>
      <c r="H37" s="58">
        <v>0.09</v>
      </c>
      <c r="I37" s="58">
        <v>0.09</v>
      </c>
      <c r="J37" s="62">
        <v>0.09</v>
      </c>
      <c r="K37" s="57">
        <f t="shared" si="4"/>
        <v>2.2605160834217037</v>
      </c>
      <c r="L37" s="61">
        <f t="shared" si="5"/>
        <v>1.9654088050314467</v>
      </c>
    </row>
    <row r="38" spans="1:12" ht="21.75" customHeight="1" x14ac:dyDescent="0.3">
      <c r="A38" s="41">
        <v>0.33333333333333331</v>
      </c>
      <c r="B38" s="49">
        <v>64.62</v>
      </c>
      <c r="C38" s="49">
        <v>19.66</v>
      </c>
      <c r="D38" s="49">
        <v>7.56</v>
      </c>
      <c r="E38" s="49">
        <v>0.49</v>
      </c>
      <c r="F38" s="49">
        <v>0.37</v>
      </c>
      <c r="G38" s="49">
        <v>0.1</v>
      </c>
      <c r="H38" s="49">
        <v>0.09</v>
      </c>
      <c r="I38" s="49">
        <v>0.1</v>
      </c>
      <c r="J38" s="50">
        <v>0.09</v>
      </c>
      <c r="K38" s="51">
        <f t="shared" si="4"/>
        <v>2.373989713445996</v>
      </c>
      <c r="L38" s="52">
        <f t="shared" si="5"/>
        <v>2.6005291005291005</v>
      </c>
    </row>
    <row r="39" spans="1:12" ht="22.5" customHeight="1" x14ac:dyDescent="0.3">
      <c r="A39" s="41">
        <v>0.66666666666666663</v>
      </c>
      <c r="B39" s="53">
        <v>61.13</v>
      </c>
      <c r="C39" s="63">
        <v>18.88</v>
      </c>
      <c r="D39" s="63">
        <v>11.1</v>
      </c>
      <c r="E39" s="63">
        <v>1.06</v>
      </c>
      <c r="F39" s="63">
        <v>0.38</v>
      </c>
      <c r="G39" s="63">
        <v>0.1</v>
      </c>
      <c r="H39" s="63">
        <v>0.09</v>
      </c>
      <c r="I39" s="63">
        <v>0.1</v>
      </c>
      <c r="J39" s="64">
        <v>0.09</v>
      </c>
      <c r="K39" s="57">
        <f t="shared" si="4"/>
        <v>2.0390260173448969</v>
      </c>
      <c r="L39" s="56">
        <f t="shared" si="5"/>
        <v>1.7009009009009008</v>
      </c>
    </row>
    <row r="40" spans="1:12" ht="20.25" customHeight="1" x14ac:dyDescent="0.3">
      <c r="A40" s="41">
        <v>0</v>
      </c>
      <c r="B40" s="53">
        <v>57.87</v>
      </c>
      <c r="C40" s="63">
        <v>20.58</v>
      </c>
      <c r="D40" s="63">
        <v>12.09</v>
      </c>
      <c r="E40" s="63">
        <v>0.79</v>
      </c>
      <c r="F40" s="63">
        <v>0.42</v>
      </c>
      <c r="G40" s="63">
        <v>0.15</v>
      </c>
      <c r="H40" s="63">
        <v>0.08</v>
      </c>
      <c r="I40" s="63">
        <v>0.09</v>
      </c>
      <c r="J40" s="64">
        <v>0.1</v>
      </c>
      <c r="K40" s="57">
        <f t="shared" ref="K40:K42" si="6">B40/(C40+D40)</f>
        <v>1.771349862258953</v>
      </c>
      <c r="L40" s="56">
        <f t="shared" ref="L40:L42" si="7">C40/D40</f>
        <v>1.7022332506203472</v>
      </c>
    </row>
    <row r="41" spans="1:12" ht="21" customHeight="1" x14ac:dyDescent="0.3">
      <c r="A41" s="41">
        <v>0.33333333333333331</v>
      </c>
      <c r="B41" s="53">
        <v>64.12</v>
      </c>
      <c r="C41" s="63">
        <v>20.27</v>
      </c>
      <c r="D41" s="63">
        <v>7.1</v>
      </c>
      <c r="E41" s="63">
        <v>0.48</v>
      </c>
      <c r="F41" s="63">
        <v>0.37</v>
      </c>
      <c r="G41" s="63">
        <v>0.09</v>
      </c>
      <c r="H41" s="63">
        <v>0.09</v>
      </c>
      <c r="I41" s="63">
        <v>0.09</v>
      </c>
      <c r="J41" s="64">
        <v>0.09</v>
      </c>
      <c r="K41" s="57">
        <f t="shared" si="6"/>
        <v>2.3427109974424556</v>
      </c>
      <c r="L41" s="56">
        <f t="shared" si="7"/>
        <v>2.8549295774647887</v>
      </c>
    </row>
    <row r="42" spans="1:12" ht="23.25" customHeight="1" x14ac:dyDescent="0.3">
      <c r="A42" s="41">
        <v>0.70833333333333337</v>
      </c>
      <c r="B42" s="58">
        <v>59.99</v>
      </c>
      <c r="C42" s="59">
        <v>19.420000000000002</v>
      </c>
      <c r="D42" s="59">
        <v>12.36</v>
      </c>
      <c r="E42" s="59">
        <v>0.49</v>
      </c>
      <c r="F42" s="59">
        <v>0.36</v>
      </c>
      <c r="G42" s="59">
        <v>0.08</v>
      </c>
      <c r="H42" s="59">
        <v>0.09</v>
      </c>
      <c r="I42" s="59">
        <v>0.1</v>
      </c>
      <c r="J42" s="60">
        <v>0.08</v>
      </c>
      <c r="K42" s="57">
        <f t="shared" si="6"/>
        <v>1.8876651982378854</v>
      </c>
      <c r="L42" s="61">
        <f t="shared" si="7"/>
        <v>1.5711974110032365</v>
      </c>
    </row>
    <row r="43" spans="1:12" ht="19.5" customHeight="1" x14ac:dyDescent="0.3">
      <c r="A43" s="41">
        <v>0</v>
      </c>
      <c r="B43" s="49">
        <v>62.98</v>
      </c>
      <c r="C43" s="66">
        <v>19.760000000000002</v>
      </c>
      <c r="D43" s="66">
        <v>10.53</v>
      </c>
      <c r="E43" s="66">
        <v>0.53</v>
      </c>
      <c r="F43" s="66">
        <v>0.36</v>
      </c>
      <c r="G43" s="66">
        <v>0.08</v>
      </c>
      <c r="H43" s="66">
        <v>7.0000000000000007E-2</v>
      </c>
      <c r="I43" s="66">
        <v>0.09</v>
      </c>
      <c r="J43" s="67">
        <v>0.1</v>
      </c>
      <c r="K43" s="68">
        <f t="shared" ref="K43" si="8">B43/(C43+D43)</f>
        <v>2.0792340706503798</v>
      </c>
      <c r="L43" s="52">
        <f t="shared" ref="L43" si="9">C43/D43</f>
        <v>1.8765432098765435</v>
      </c>
    </row>
    <row r="44" spans="1:12" ht="23.25" customHeight="1" x14ac:dyDescent="0.3">
      <c r="A44" s="41">
        <v>0.375</v>
      </c>
      <c r="B44" s="53">
        <v>62.54</v>
      </c>
      <c r="C44" s="63">
        <v>19.21</v>
      </c>
      <c r="D44" s="63">
        <v>9.98</v>
      </c>
      <c r="E44" s="63">
        <v>0.56000000000000005</v>
      </c>
      <c r="F44" s="63">
        <v>0.39</v>
      </c>
      <c r="G44" s="63">
        <v>0.08</v>
      </c>
      <c r="H44" s="63">
        <v>7.0000000000000007E-2</v>
      </c>
      <c r="I44" s="63">
        <v>0.09</v>
      </c>
      <c r="J44" s="64">
        <v>0.09</v>
      </c>
      <c r="K44" s="57">
        <f t="shared" ref="K44:K67" si="10">B44/(C44+D44)</f>
        <v>2.1425145597807469</v>
      </c>
      <c r="L44" s="56">
        <f t="shared" ref="L44:L67" si="11">C44/D44</f>
        <v>1.9248496993987976</v>
      </c>
    </row>
    <row r="45" spans="1:12" ht="22.5" customHeight="1" x14ac:dyDescent="0.3">
      <c r="A45" s="41">
        <v>0.70833333333333337</v>
      </c>
      <c r="B45" s="53">
        <v>59.94</v>
      </c>
      <c r="C45" s="63">
        <v>18.5</v>
      </c>
      <c r="D45" s="63">
        <v>14.66</v>
      </c>
      <c r="E45" s="63">
        <v>0.5</v>
      </c>
      <c r="F45" s="63">
        <v>0.36</v>
      </c>
      <c r="G45" s="63">
        <v>0.08</v>
      </c>
      <c r="H45" s="63">
        <v>0.09</v>
      </c>
      <c r="I45" s="63">
        <v>0.1</v>
      </c>
      <c r="J45" s="64">
        <v>0.09</v>
      </c>
      <c r="K45" s="57">
        <f t="shared" si="10"/>
        <v>1.8075995174909532</v>
      </c>
      <c r="L45" s="56">
        <f t="shared" si="11"/>
        <v>1.2619372442019099</v>
      </c>
    </row>
    <row r="46" spans="1:12" ht="21.75" customHeight="1" x14ac:dyDescent="0.3">
      <c r="A46" s="41">
        <v>0</v>
      </c>
      <c r="B46" s="53">
        <v>58.97</v>
      </c>
      <c r="C46" s="63">
        <v>21.18</v>
      </c>
      <c r="D46" s="63">
        <v>9.49</v>
      </c>
      <c r="E46" s="63">
        <v>0.6</v>
      </c>
      <c r="F46" s="63">
        <v>0.38</v>
      </c>
      <c r="G46" s="63">
        <v>0.09</v>
      </c>
      <c r="H46" s="63">
        <v>0.09</v>
      </c>
      <c r="I46" s="63">
        <v>0.1</v>
      </c>
      <c r="J46" s="64">
        <v>0.12</v>
      </c>
      <c r="K46" s="57">
        <f t="shared" si="10"/>
        <v>1.9227257906749264</v>
      </c>
      <c r="L46" s="56">
        <f t="shared" si="11"/>
        <v>2.2318229715489988</v>
      </c>
    </row>
    <row r="47" spans="1:12" ht="21" customHeight="1" x14ac:dyDescent="0.3">
      <c r="A47" s="41">
        <v>0.625</v>
      </c>
      <c r="B47" s="53">
        <v>53.92</v>
      </c>
      <c r="C47" s="63">
        <v>19.7</v>
      </c>
      <c r="D47" s="63">
        <v>16.27</v>
      </c>
      <c r="E47" s="63">
        <v>0.94</v>
      </c>
      <c r="F47" s="63">
        <v>0.43</v>
      </c>
      <c r="G47" s="63">
        <v>0.15</v>
      </c>
      <c r="H47" s="63">
        <v>0.09</v>
      </c>
      <c r="I47" s="63">
        <v>0.15</v>
      </c>
      <c r="J47" s="64">
        <v>0.1</v>
      </c>
      <c r="K47" s="57">
        <f t="shared" si="10"/>
        <v>1.4990269669168752</v>
      </c>
      <c r="L47" s="56">
        <f t="shared" si="11"/>
        <v>1.2108174554394591</v>
      </c>
    </row>
    <row r="48" spans="1:12" ht="21" customHeight="1" x14ac:dyDescent="0.3">
      <c r="A48" s="41">
        <v>0</v>
      </c>
      <c r="B48" s="53">
        <v>60.47</v>
      </c>
      <c r="C48" s="63">
        <v>20.56</v>
      </c>
      <c r="D48" s="63">
        <v>9.2100000000000009</v>
      </c>
      <c r="E48" s="63">
        <v>0.6</v>
      </c>
      <c r="F48" s="63">
        <v>0.38</v>
      </c>
      <c r="G48" s="63">
        <v>0.1</v>
      </c>
      <c r="H48" s="63">
        <v>0.08</v>
      </c>
      <c r="I48" s="63">
        <v>0.09</v>
      </c>
      <c r="J48" s="64">
        <v>0.11</v>
      </c>
      <c r="K48" s="57">
        <f t="shared" si="10"/>
        <v>2.0312395028552235</v>
      </c>
      <c r="L48" s="56">
        <f t="shared" si="11"/>
        <v>2.2323561346362646</v>
      </c>
    </row>
    <row r="49" spans="1:12" ht="21" customHeight="1" x14ac:dyDescent="0.3">
      <c r="A49" s="40">
        <v>4.1666666666666664E-2</v>
      </c>
      <c r="B49" s="53">
        <v>66.7</v>
      </c>
      <c r="C49" s="63">
        <v>19.260000000000002</v>
      </c>
      <c r="D49" s="63">
        <v>4.82</v>
      </c>
      <c r="E49" s="63">
        <v>0.6</v>
      </c>
      <c r="F49" s="63">
        <v>0.47</v>
      </c>
      <c r="G49" s="63">
        <v>0.18</v>
      </c>
      <c r="H49" s="63">
        <v>0.1</v>
      </c>
      <c r="I49" s="63">
        <v>0.13</v>
      </c>
      <c r="J49" s="64">
        <v>0.1</v>
      </c>
      <c r="K49" s="55">
        <f t="shared" si="10"/>
        <v>2.7699335548172757</v>
      </c>
      <c r="L49" s="56">
        <f t="shared" si="11"/>
        <v>3.995850622406639</v>
      </c>
    </row>
    <row r="50" spans="1:12" ht="21" customHeight="1" x14ac:dyDescent="0.3">
      <c r="A50" s="40">
        <v>0.375</v>
      </c>
      <c r="B50" s="53">
        <v>67.7</v>
      </c>
      <c r="C50" s="63">
        <v>18.23</v>
      </c>
      <c r="D50" s="63">
        <v>5.94</v>
      </c>
      <c r="E50" s="63">
        <v>0.96</v>
      </c>
      <c r="F50" s="63">
        <v>0.47</v>
      </c>
      <c r="G50" s="63">
        <v>0.12</v>
      </c>
      <c r="H50" s="63">
        <v>0.1</v>
      </c>
      <c r="I50" s="63">
        <v>0.13</v>
      </c>
      <c r="J50" s="64">
        <v>0.09</v>
      </c>
      <c r="K50" s="55">
        <f t="shared" si="10"/>
        <v>2.8009929664873812</v>
      </c>
      <c r="L50" s="56">
        <f t="shared" si="11"/>
        <v>3.0690235690235688</v>
      </c>
    </row>
    <row r="51" spans="1:12" ht="21" customHeight="1" x14ac:dyDescent="0.3">
      <c r="A51" s="40">
        <v>0.70833333333333337</v>
      </c>
      <c r="B51" s="53">
        <v>62.21</v>
      </c>
      <c r="C51" s="63">
        <v>19.75</v>
      </c>
      <c r="D51" s="63">
        <v>5.57</v>
      </c>
      <c r="E51" s="63">
        <v>0.72</v>
      </c>
      <c r="F51" s="63">
        <v>0.52</v>
      </c>
      <c r="G51" s="63">
        <v>0.19</v>
      </c>
      <c r="H51" s="63">
        <v>0.11</v>
      </c>
      <c r="I51" s="63">
        <v>0.17</v>
      </c>
      <c r="J51" s="64">
        <v>0.11</v>
      </c>
      <c r="K51" s="55">
        <f t="shared" si="10"/>
        <v>2.45695102685624</v>
      </c>
      <c r="L51" s="56">
        <f t="shared" si="11"/>
        <v>3.5457809694793534</v>
      </c>
    </row>
    <row r="52" spans="1:12" ht="21" customHeight="1" x14ac:dyDescent="0.3">
      <c r="A52" s="40">
        <v>0</v>
      </c>
      <c r="B52" s="53">
        <v>66.599999999999994</v>
      </c>
      <c r="C52" s="63">
        <v>19.04</v>
      </c>
      <c r="D52" s="63">
        <v>5.14</v>
      </c>
      <c r="E52" s="63">
        <v>0.64</v>
      </c>
      <c r="F52" s="63">
        <v>0.47</v>
      </c>
      <c r="G52" s="63">
        <v>0.12</v>
      </c>
      <c r="H52" s="63">
        <v>0.1</v>
      </c>
      <c r="I52" s="63">
        <v>0.14000000000000001</v>
      </c>
      <c r="J52" s="64">
        <v>0.1</v>
      </c>
      <c r="K52" s="55">
        <f t="shared" si="10"/>
        <v>2.7543424317617866</v>
      </c>
      <c r="L52" s="56">
        <f t="shared" si="11"/>
        <v>3.7042801556420235</v>
      </c>
    </row>
    <row r="53" spans="1:12" ht="21" customHeight="1" x14ac:dyDescent="0.3">
      <c r="A53" s="40">
        <v>0.375</v>
      </c>
      <c r="B53" s="53">
        <v>68.150000000000006</v>
      </c>
      <c r="C53" s="63">
        <v>18.45</v>
      </c>
      <c r="D53" s="63">
        <v>5.45</v>
      </c>
      <c r="E53" s="63">
        <v>0.63</v>
      </c>
      <c r="F53" s="63">
        <v>0.47</v>
      </c>
      <c r="G53" s="63">
        <v>0.11</v>
      </c>
      <c r="H53" s="63">
        <v>0.1</v>
      </c>
      <c r="I53" s="63">
        <v>0.16</v>
      </c>
      <c r="J53" s="64">
        <v>0.09</v>
      </c>
      <c r="K53" s="55">
        <f t="shared" si="10"/>
        <v>2.8514644351464438</v>
      </c>
      <c r="L53" s="56">
        <f t="shared" si="11"/>
        <v>3.3853211009174311</v>
      </c>
    </row>
    <row r="54" spans="1:12" ht="21" customHeight="1" x14ac:dyDescent="0.3">
      <c r="A54" s="40">
        <v>0.70833333333333337</v>
      </c>
      <c r="B54" s="53">
        <v>66.37</v>
      </c>
      <c r="C54" s="63">
        <v>18.62</v>
      </c>
      <c r="D54" s="63">
        <v>6.93</v>
      </c>
      <c r="E54" s="63">
        <v>0.7</v>
      </c>
      <c r="F54" s="63">
        <v>0.52</v>
      </c>
      <c r="G54" s="63">
        <v>0.08</v>
      </c>
      <c r="H54" s="63">
        <v>0.08</v>
      </c>
      <c r="I54" s="63">
        <v>0.16</v>
      </c>
      <c r="J54" s="64">
        <v>0.1</v>
      </c>
      <c r="K54" s="55">
        <f t="shared" si="10"/>
        <v>2.5976516634050881</v>
      </c>
      <c r="L54" s="56">
        <f t="shared" si="11"/>
        <v>2.6868686868686873</v>
      </c>
    </row>
    <row r="55" spans="1:12" ht="21" customHeight="1" x14ac:dyDescent="0.3">
      <c r="A55" s="40">
        <v>0</v>
      </c>
      <c r="B55" s="53">
        <v>66.13</v>
      </c>
      <c r="C55" s="63">
        <v>18.670000000000002</v>
      </c>
      <c r="D55" s="63">
        <v>5.25</v>
      </c>
      <c r="E55" s="63">
        <v>0.93</v>
      </c>
      <c r="F55" s="63">
        <v>0.5</v>
      </c>
      <c r="G55" s="63">
        <v>0.09</v>
      </c>
      <c r="H55" s="63">
        <v>0.1</v>
      </c>
      <c r="I55" s="63">
        <v>0.17</v>
      </c>
      <c r="J55" s="64">
        <v>0.1</v>
      </c>
      <c r="K55" s="55">
        <f t="shared" si="10"/>
        <v>2.7646321070234108</v>
      </c>
      <c r="L55" s="56">
        <f t="shared" si="11"/>
        <v>3.5561904761904763</v>
      </c>
    </row>
    <row r="56" spans="1:12" ht="21" customHeight="1" x14ac:dyDescent="0.3">
      <c r="A56" s="40">
        <v>0.33333333333333331</v>
      </c>
      <c r="B56" s="53">
        <v>66.599999999999994</v>
      </c>
      <c r="C56" s="63">
        <v>18.11</v>
      </c>
      <c r="D56" s="63">
        <v>5.01</v>
      </c>
      <c r="E56" s="63">
        <v>1.05</v>
      </c>
      <c r="F56" s="63">
        <v>0.38</v>
      </c>
      <c r="G56" s="63">
        <v>7.0000000000000007E-2</v>
      </c>
      <c r="H56" s="63">
        <v>0.09</v>
      </c>
      <c r="I56" s="63">
        <v>0.09</v>
      </c>
      <c r="J56" s="64">
        <v>0.1</v>
      </c>
      <c r="K56" s="55">
        <f t="shared" si="10"/>
        <v>2.8806228373702423</v>
      </c>
      <c r="L56" s="56">
        <f t="shared" si="11"/>
        <v>3.6147704590818366</v>
      </c>
    </row>
    <row r="57" spans="1:12" ht="21" customHeight="1" x14ac:dyDescent="0.3">
      <c r="A57" s="40">
        <v>0.70833333333333337</v>
      </c>
      <c r="B57" s="53">
        <v>65.900000000000006</v>
      </c>
      <c r="C57" s="63">
        <v>17.89</v>
      </c>
      <c r="D57" s="63">
        <v>4.84</v>
      </c>
      <c r="E57" s="63">
        <v>1.46</v>
      </c>
      <c r="F57" s="63">
        <v>0.37</v>
      </c>
      <c r="G57" s="63">
        <v>0.09</v>
      </c>
      <c r="H57" s="63">
        <v>0.08</v>
      </c>
      <c r="I57" s="63">
        <v>0.08</v>
      </c>
      <c r="J57" s="64">
        <v>0.1</v>
      </c>
      <c r="K57" s="55">
        <f t="shared" si="10"/>
        <v>2.8992520897492304</v>
      </c>
      <c r="L57" s="56">
        <f t="shared" si="11"/>
        <v>3.6962809917355375</v>
      </c>
    </row>
    <row r="58" spans="1:12" ht="21" customHeight="1" x14ac:dyDescent="0.3">
      <c r="A58" s="40">
        <v>0</v>
      </c>
      <c r="B58" s="53">
        <v>62.71</v>
      </c>
      <c r="C58" s="63">
        <v>19.88</v>
      </c>
      <c r="D58" s="63">
        <v>4.88</v>
      </c>
      <c r="E58" s="63">
        <v>0.62</v>
      </c>
      <c r="F58" s="63">
        <v>0.39</v>
      </c>
      <c r="G58" s="63">
        <v>0.1</v>
      </c>
      <c r="H58" s="63">
        <v>0.1</v>
      </c>
      <c r="I58" s="63">
        <v>0.08</v>
      </c>
      <c r="J58" s="64">
        <v>0.11</v>
      </c>
      <c r="K58" s="55">
        <f t="shared" si="10"/>
        <v>2.5327140549273022</v>
      </c>
      <c r="L58" s="56">
        <f t="shared" si="11"/>
        <v>4.0737704918032787</v>
      </c>
    </row>
    <row r="59" spans="1:12" ht="21" customHeight="1" x14ac:dyDescent="0.3">
      <c r="A59" s="40">
        <v>0.33333333333333331</v>
      </c>
      <c r="B59" s="53">
        <v>66.23</v>
      </c>
      <c r="C59" s="63">
        <v>19.22</v>
      </c>
      <c r="D59" s="63">
        <v>5.26</v>
      </c>
      <c r="E59" s="63">
        <v>1.02</v>
      </c>
      <c r="F59" s="63">
        <v>0.38</v>
      </c>
      <c r="G59" s="63">
        <v>7.0000000000000007E-2</v>
      </c>
      <c r="H59" s="63">
        <v>0.09</v>
      </c>
      <c r="I59" s="63">
        <v>0.1</v>
      </c>
      <c r="J59" s="64">
        <v>0.09</v>
      </c>
      <c r="K59" s="55">
        <f t="shared" si="10"/>
        <v>2.7054738562091507</v>
      </c>
      <c r="L59" s="56">
        <f t="shared" si="11"/>
        <v>3.6539923954372622</v>
      </c>
    </row>
    <row r="60" spans="1:12" ht="21" customHeight="1" x14ac:dyDescent="0.3">
      <c r="A60" s="40">
        <v>0</v>
      </c>
      <c r="B60" s="53">
        <v>67.78</v>
      </c>
      <c r="C60" s="63">
        <v>18.3</v>
      </c>
      <c r="D60" s="63">
        <v>5.53</v>
      </c>
      <c r="E60" s="63">
        <v>0.56999999999999995</v>
      </c>
      <c r="F60" s="63">
        <v>0.43</v>
      </c>
      <c r="G60" s="63">
        <v>0.16</v>
      </c>
      <c r="H60" s="63">
        <v>0.1</v>
      </c>
      <c r="I60" s="63">
        <v>0.13</v>
      </c>
      <c r="J60" s="64">
        <v>0.09</v>
      </c>
      <c r="K60" s="55">
        <f t="shared" si="10"/>
        <v>2.8443138900545528</v>
      </c>
      <c r="L60" s="56">
        <f t="shared" si="11"/>
        <v>3.309222423146474</v>
      </c>
    </row>
    <row r="61" spans="1:12" ht="21" customHeight="1" x14ac:dyDescent="0.3">
      <c r="A61" s="40">
        <v>0.33333333333333331</v>
      </c>
      <c r="B61" s="53">
        <v>58.76</v>
      </c>
      <c r="C61" s="63">
        <v>20.309999999999999</v>
      </c>
      <c r="D61" s="63">
        <v>8.0399999999999991</v>
      </c>
      <c r="E61" s="63">
        <v>0.56999999999999995</v>
      </c>
      <c r="F61" s="63">
        <v>0.42</v>
      </c>
      <c r="G61" s="63">
        <v>0.11</v>
      </c>
      <c r="H61" s="63">
        <v>0.1</v>
      </c>
      <c r="I61" s="63">
        <v>0.13</v>
      </c>
      <c r="J61" s="64">
        <v>0.09</v>
      </c>
      <c r="K61" s="55">
        <f t="shared" si="10"/>
        <v>2.0726631393298063</v>
      </c>
      <c r="L61" s="56">
        <f t="shared" si="11"/>
        <v>2.5261194029850746</v>
      </c>
    </row>
    <row r="62" spans="1:12" ht="21" customHeight="1" x14ac:dyDescent="0.3">
      <c r="A62" s="40">
        <v>0.66666666666666663</v>
      </c>
      <c r="B62" s="53">
        <v>58.6</v>
      </c>
      <c r="C62" s="63">
        <v>20.02</v>
      </c>
      <c r="D62" s="63">
        <v>11.24</v>
      </c>
      <c r="E62" s="63">
        <v>0.73</v>
      </c>
      <c r="F62" s="63">
        <v>0.42</v>
      </c>
      <c r="G62" s="63">
        <v>0.14000000000000001</v>
      </c>
      <c r="H62" s="63">
        <v>0.1</v>
      </c>
      <c r="I62" s="63">
        <v>0.17</v>
      </c>
      <c r="J62" s="64">
        <v>0.1</v>
      </c>
      <c r="K62" s="55">
        <f t="shared" si="10"/>
        <v>1.8746001279590532</v>
      </c>
      <c r="L62" s="56">
        <f t="shared" si="11"/>
        <v>1.7811387900355871</v>
      </c>
    </row>
    <row r="63" spans="1:12" ht="21" customHeight="1" x14ac:dyDescent="0.3">
      <c r="A63" s="40">
        <v>0</v>
      </c>
      <c r="B63" s="53">
        <v>56.54</v>
      </c>
      <c r="C63" s="63">
        <v>20</v>
      </c>
      <c r="D63" s="63">
        <v>13.84</v>
      </c>
      <c r="E63" s="63">
        <v>0.75</v>
      </c>
      <c r="F63" s="63">
        <v>0.47</v>
      </c>
      <c r="G63" s="63">
        <v>0.1</v>
      </c>
      <c r="H63" s="63">
        <v>0.1</v>
      </c>
      <c r="I63" s="63">
        <v>0.2</v>
      </c>
      <c r="J63" s="64">
        <v>0.1</v>
      </c>
      <c r="K63" s="55">
        <f t="shared" si="10"/>
        <v>1.6708037825059099</v>
      </c>
      <c r="L63" s="56">
        <f t="shared" si="11"/>
        <v>1.4450867052023122</v>
      </c>
    </row>
    <row r="64" spans="1:12" ht="21" customHeight="1" x14ac:dyDescent="0.3">
      <c r="A64" s="40">
        <v>0.33333333333333331</v>
      </c>
      <c r="B64" s="53">
        <v>58.37</v>
      </c>
      <c r="C64" s="63">
        <v>19.39</v>
      </c>
      <c r="D64" s="63">
        <v>14.42</v>
      </c>
      <c r="E64" s="63">
        <v>0.71</v>
      </c>
      <c r="F64" s="63">
        <v>0.45</v>
      </c>
      <c r="G64" s="63">
        <v>0.09</v>
      </c>
      <c r="H64" s="63">
        <v>0.1</v>
      </c>
      <c r="I64" s="63">
        <v>0.18</v>
      </c>
      <c r="J64" s="64">
        <v>0.09</v>
      </c>
      <c r="K64" s="55">
        <f t="shared" si="10"/>
        <v>1.7264123040520554</v>
      </c>
      <c r="L64" s="56">
        <f t="shared" si="11"/>
        <v>1.3446601941747574</v>
      </c>
    </row>
    <row r="65" spans="1:12" ht="21" customHeight="1" x14ac:dyDescent="0.3">
      <c r="A65" s="40">
        <v>0.66666666666666663</v>
      </c>
      <c r="B65" s="53">
        <v>56.62</v>
      </c>
      <c r="C65" s="63">
        <v>19.91</v>
      </c>
      <c r="D65" s="63">
        <v>12.15</v>
      </c>
      <c r="E65" s="63">
        <v>0.81</v>
      </c>
      <c r="F65" s="63">
        <v>0.46</v>
      </c>
      <c r="G65" s="63">
        <v>0.08</v>
      </c>
      <c r="H65" s="63">
        <v>0.1</v>
      </c>
      <c r="I65" s="63">
        <v>0.19</v>
      </c>
      <c r="J65" s="64">
        <v>0.1</v>
      </c>
      <c r="K65" s="55">
        <f t="shared" si="10"/>
        <v>1.7660636306924515</v>
      </c>
      <c r="L65" s="56">
        <f t="shared" si="11"/>
        <v>1.6386831275720164</v>
      </c>
    </row>
    <row r="66" spans="1:12" ht="21" customHeight="1" x14ac:dyDescent="0.3">
      <c r="A66" s="40">
        <v>0</v>
      </c>
      <c r="B66" s="53">
        <v>59.14</v>
      </c>
      <c r="C66" s="63">
        <v>19.27</v>
      </c>
      <c r="D66" s="63">
        <v>12.88</v>
      </c>
      <c r="E66" s="63">
        <v>0.91</v>
      </c>
      <c r="F66" s="63">
        <v>0.44</v>
      </c>
      <c r="G66" s="63">
        <v>0.08</v>
      </c>
      <c r="H66" s="63">
        <v>0.1</v>
      </c>
      <c r="I66" s="63">
        <v>0.17</v>
      </c>
      <c r="J66" s="64">
        <v>0.09</v>
      </c>
      <c r="K66" s="55">
        <f t="shared" si="10"/>
        <v>1.83950233281493</v>
      </c>
      <c r="L66" s="56">
        <f t="shared" si="11"/>
        <v>1.4961180124223601</v>
      </c>
    </row>
    <row r="67" spans="1:12" ht="21" customHeight="1" x14ac:dyDescent="0.3">
      <c r="A67" s="40">
        <v>0.33333333333333331</v>
      </c>
      <c r="B67" s="53">
        <v>69.66</v>
      </c>
      <c r="C67" s="63">
        <v>17.68</v>
      </c>
      <c r="D67" s="63">
        <v>4.84</v>
      </c>
      <c r="E67" s="63">
        <v>0.53</v>
      </c>
      <c r="F67" s="63">
        <v>0.42</v>
      </c>
      <c r="G67" s="63">
        <v>7.0000000000000007E-2</v>
      </c>
      <c r="H67" s="63">
        <v>0.09</v>
      </c>
      <c r="I67" s="63">
        <v>0.08</v>
      </c>
      <c r="J67" s="64">
        <v>0.1</v>
      </c>
      <c r="K67" s="55">
        <f t="shared" si="10"/>
        <v>3.0932504440497333</v>
      </c>
      <c r="L67" s="56">
        <f t="shared" si="11"/>
        <v>3.6528925619834713</v>
      </c>
    </row>
    <row r="68" spans="1:12" ht="21" customHeight="1" x14ac:dyDescent="0.3">
      <c r="A68" s="40">
        <v>0.66666666666666663</v>
      </c>
      <c r="B68" s="53">
        <v>69.790000000000006</v>
      </c>
      <c r="C68" s="63">
        <v>17.82</v>
      </c>
      <c r="D68" s="63">
        <v>4.7300000000000004</v>
      </c>
      <c r="E68" s="63">
        <v>0.56999999999999995</v>
      </c>
      <c r="F68" s="63">
        <v>0.44</v>
      </c>
      <c r="G68" s="63">
        <v>7.0000000000000007E-2</v>
      </c>
      <c r="H68" s="63">
        <v>0.1</v>
      </c>
      <c r="I68" s="63">
        <v>0.11</v>
      </c>
      <c r="J68" s="64">
        <v>0.09</v>
      </c>
      <c r="K68" s="55">
        <f t="shared" ref="K68:K75" si="12">B68/(C68+D68)</f>
        <v>3.0949002217294903</v>
      </c>
      <c r="L68" s="56">
        <f t="shared" ref="L68:L75" si="13">C68/D68</f>
        <v>3.7674418604651159</v>
      </c>
    </row>
    <row r="69" spans="1:12" ht="21" customHeight="1" x14ac:dyDescent="0.3">
      <c r="A69" s="40">
        <v>0</v>
      </c>
      <c r="B69" s="53">
        <v>69.44</v>
      </c>
      <c r="C69" s="63">
        <v>18.04</v>
      </c>
      <c r="D69" s="63">
        <v>4.7300000000000004</v>
      </c>
      <c r="E69" s="63">
        <v>0.52</v>
      </c>
      <c r="F69" s="63">
        <v>0.4</v>
      </c>
      <c r="G69" s="63">
        <v>0.08</v>
      </c>
      <c r="H69" s="63">
        <v>0.1</v>
      </c>
      <c r="I69" s="63">
        <v>0.09</v>
      </c>
      <c r="J69" s="64">
        <v>0.1</v>
      </c>
      <c r="K69" s="55">
        <f t="shared" si="12"/>
        <v>3.0496267018006149</v>
      </c>
      <c r="L69" s="56">
        <f t="shared" si="13"/>
        <v>3.8139534883720927</v>
      </c>
    </row>
    <row r="70" spans="1:12" ht="21" customHeight="1" x14ac:dyDescent="0.3">
      <c r="A70" s="40">
        <v>0.33333333333333331</v>
      </c>
      <c r="B70" s="53">
        <v>68.989999999999995</v>
      </c>
      <c r="C70" s="63">
        <v>17.86</v>
      </c>
      <c r="D70" s="63">
        <v>5.48</v>
      </c>
      <c r="E70" s="63">
        <v>0.59</v>
      </c>
      <c r="F70" s="63">
        <v>0.4</v>
      </c>
      <c r="G70" s="63">
        <v>7.0000000000000007E-2</v>
      </c>
      <c r="H70" s="63">
        <v>0.09</v>
      </c>
      <c r="I70" s="63">
        <v>0.08</v>
      </c>
      <c r="J70" s="64">
        <v>0.1</v>
      </c>
      <c r="K70" s="55">
        <f t="shared" si="12"/>
        <v>2.9558697514995713</v>
      </c>
      <c r="L70" s="56">
        <f t="shared" si="13"/>
        <v>3.2591240875912404</v>
      </c>
    </row>
    <row r="71" spans="1:12" ht="21" customHeight="1" x14ac:dyDescent="0.3">
      <c r="A71" s="40">
        <v>0.66666666666666663</v>
      </c>
      <c r="B71" s="53">
        <v>69.349999999999994</v>
      </c>
      <c r="C71" s="63">
        <v>17.48</v>
      </c>
      <c r="D71" s="63">
        <v>7.41</v>
      </c>
      <c r="E71" s="63">
        <v>0.51</v>
      </c>
      <c r="F71" s="63">
        <v>0.37</v>
      </c>
      <c r="G71" s="63">
        <v>0.08</v>
      </c>
      <c r="H71" s="63">
        <v>0.1</v>
      </c>
      <c r="I71" s="63">
        <v>0.08</v>
      </c>
      <c r="J71" s="64">
        <v>0.1</v>
      </c>
      <c r="K71" s="55">
        <f t="shared" si="12"/>
        <v>2.7862595419847325</v>
      </c>
      <c r="L71" s="56">
        <f t="shared" si="13"/>
        <v>2.358974358974359</v>
      </c>
    </row>
    <row r="72" spans="1:12" ht="21" customHeight="1" x14ac:dyDescent="0.3">
      <c r="A72" s="40">
        <v>0</v>
      </c>
      <c r="B72" s="53">
        <v>69.7</v>
      </c>
      <c r="C72" s="63">
        <v>17.29</v>
      </c>
      <c r="D72" s="63">
        <v>6.52</v>
      </c>
      <c r="E72" s="63">
        <v>0.53</v>
      </c>
      <c r="F72" s="63">
        <v>0.4</v>
      </c>
      <c r="G72" s="63">
        <v>7.0000000000000007E-2</v>
      </c>
      <c r="H72" s="63">
        <v>0.1</v>
      </c>
      <c r="I72" s="63">
        <v>0.08</v>
      </c>
      <c r="J72" s="64">
        <v>0.1</v>
      </c>
      <c r="K72" s="55">
        <f t="shared" si="12"/>
        <v>2.927341453170937</v>
      </c>
      <c r="L72" s="56">
        <f t="shared" si="13"/>
        <v>2.6518404907975461</v>
      </c>
    </row>
    <row r="73" spans="1:12" ht="21" customHeight="1" x14ac:dyDescent="0.3">
      <c r="A73" s="40">
        <v>0.33333333333333331</v>
      </c>
      <c r="B73" s="53">
        <v>67.87</v>
      </c>
      <c r="C73" s="63">
        <v>17.850000000000001</v>
      </c>
      <c r="D73" s="63">
        <v>5.2</v>
      </c>
      <c r="E73" s="63">
        <v>1.06</v>
      </c>
      <c r="F73" s="63">
        <v>0.45</v>
      </c>
      <c r="G73" s="63">
        <v>0.1</v>
      </c>
      <c r="H73" s="63">
        <v>0.09</v>
      </c>
      <c r="I73" s="63">
        <v>0.13</v>
      </c>
      <c r="J73" s="64">
        <v>0.1</v>
      </c>
      <c r="K73" s="55">
        <f t="shared" si="12"/>
        <v>2.944468546637744</v>
      </c>
      <c r="L73" s="56">
        <f t="shared" si="13"/>
        <v>3.4326923076923079</v>
      </c>
    </row>
    <row r="74" spans="1:12" ht="21" customHeight="1" x14ac:dyDescent="0.3">
      <c r="A74" s="40">
        <v>0.66666666666666663</v>
      </c>
      <c r="B74" s="53">
        <v>66.260000000000005</v>
      </c>
      <c r="C74" s="63">
        <v>17.670000000000002</v>
      </c>
      <c r="D74" s="63">
        <v>6.39</v>
      </c>
      <c r="E74" s="63">
        <v>1.37</v>
      </c>
      <c r="F74" s="63">
        <v>0.49</v>
      </c>
      <c r="G74" s="63">
        <v>0.08</v>
      </c>
      <c r="H74" s="63">
        <v>0.1</v>
      </c>
      <c r="I74" s="63">
        <v>0.15</v>
      </c>
      <c r="J74" s="64">
        <v>0.1</v>
      </c>
      <c r="K74" s="55">
        <f t="shared" si="12"/>
        <v>2.7539484621778887</v>
      </c>
      <c r="L74" s="56">
        <f t="shared" si="13"/>
        <v>2.7652582159624419</v>
      </c>
    </row>
    <row r="75" spans="1:12" ht="21" customHeight="1" x14ac:dyDescent="0.3">
      <c r="A75" s="40">
        <v>0</v>
      </c>
      <c r="B75" s="53">
        <v>66.47</v>
      </c>
      <c r="C75" s="63">
        <v>18.100000000000001</v>
      </c>
      <c r="D75" s="63">
        <v>7.33</v>
      </c>
      <c r="E75" s="63">
        <v>0.59</v>
      </c>
      <c r="F75" s="63">
        <v>0.56999999999999995</v>
      </c>
      <c r="G75" s="63">
        <v>0.08</v>
      </c>
      <c r="H75" s="63">
        <v>0.1</v>
      </c>
      <c r="I75" s="63">
        <v>0.24</v>
      </c>
      <c r="J75" s="64">
        <v>0.09</v>
      </c>
      <c r="K75" s="55">
        <f t="shared" si="12"/>
        <v>2.6138419189933151</v>
      </c>
      <c r="L75" s="56">
        <f t="shared" si="13"/>
        <v>2.4693042291950889</v>
      </c>
    </row>
    <row r="126" ht="15.75" customHeight="1" x14ac:dyDescent="0.3"/>
  </sheetData>
  <printOptions horizontalCentered="1"/>
  <pageMargins left="0.5" right="0.25" top="0.5" bottom="0.2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26"/>
  <sheetViews>
    <sheetView zoomScaleNormal="100" workbookViewId="0">
      <selection activeCell="G2" sqref="G2"/>
    </sheetView>
  </sheetViews>
  <sheetFormatPr defaultColWidth="9.109375" defaultRowHeight="14.4" x14ac:dyDescent="0.3"/>
  <cols>
    <col min="1" max="1" width="11.33203125" style="42" customWidth="1"/>
    <col min="2" max="12" width="9" style="42" customWidth="1"/>
    <col min="13" max="16384" width="9.109375" style="42"/>
  </cols>
  <sheetData>
    <row r="1" spans="1:12" ht="24.75" customHeight="1" thickBot="1" x14ac:dyDescent="0.35">
      <c r="A1" s="102" t="s">
        <v>18</v>
      </c>
      <c r="B1" s="70" t="s">
        <v>5</v>
      </c>
      <c r="C1" s="44" t="s">
        <v>6</v>
      </c>
      <c r="D1" s="44" t="s">
        <v>7</v>
      </c>
      <c r="E1" s="44" t="s">
        <v>0</v>
      </c>
      <c r="F1" s="44" t="s">
        <v>1</v>
      </c>
      <c r="G1" s="44" t="s">
        <v>8</v>
      </c>
      <c r="H1" s="45" t="s">
        <v>10</v>
      </c>
      <c r="I1" s="45" t="s">
        <v>9</v>
      </c>
      <c r="J1" s="46" t="s">
        <v>12</v>
      </c>
      <c r="K1" s="70" t="s">
        <v>2</v>
      </c>
      <c r="L1" s="47" t="s">
        <v>3</v>
      </c>
    </row>
    <row r="2" spans="1:12" ht="24.75" customHeight="1" thickTop="1" x14ac:dyDescent="0.3">
      <c r="A2" s="71">
        <v>0</v>
      </c>
      <c r="B2" s="57">
        <v>49.59</v>
      </c>
      <c r="C2" s="72">
        <v>29.42</v>
      </c>
      <c r="D2" s="72">
        <v>2.0699999999999998</v>
      </c>
      <c r="E2" s="72">
        <v>0.85</v>
      </c>
      <c r="F2" s="72">
        <v>0.11</v>
      </c>
      <c r="G2" s="72">
        <v>0.55000000000000004</v>
      </c>
      <c r="H2" s="72">
        <v>0.22</v>
      </c>
      <c r="I2" s="72">
        <v>0.09</v>
      </c>
      <c r="J2" s="73">
        <v>0.26</v>
      </c>
      <c r="K2" s="59">
        <f t="shared" ref="K2:K4" si="0">B2/(C2+D2)</f>
        <v>1.5747856462369005</v>
      </c>
      <c r="L2" s="74">
        <f t="shared" ref="L2:L9" si="1">C2/D2</f>
        <v>14.212560386473433</v>
      </c>
    </row>
    <row r="3" spans="1:12" ht="24.75" customHeight="1" x14ac:dyDescent="0.3">
      <c r="A3" s="57">
        <v>0</v>
      </c>
      <c r="B3" s="57">
        <v>50.49</v>
      </c>
      <c r="C3" s="59">
        <v>30.51</v>
      </c>
      <c r="D3" s="59">
        <v>2.3199999999999998</v>
      </c>
      <c r="E3" s="59">
        <v>1.39</v>
      </c>
      <c r="F3" s="59">
        <v>0.15</v>
      </c>
      <c r="G3" s="59">
        <v>0.79</v>
      </c>
      <c r="H3" s="59">
        <v>0.24</v>
      </c>
      <c r="I3" s="72">
        <v>0.1</v>
      </c>
      <c r="J3" s="73">
        <v>0.38</v>
      </c>
      <c r="K3" s="59">
        <f t="shared" si="0"/>
        <v>1.5379226317392629</v>
      </c>
      <c r="L3" s="61">
        <f t="shared" si="1"/>
        <v>13.15086206896552</v>
      </c>
    </row>
    <row r="4" spans="1:12" ht="24.75" customHeight="1" x14ac:dyDescent="0.3">
      <c r="A4" s="57">
        <v>0</v>
      </c>
      <c r="B4" s="57">
        <v>51.54</v>
      </c>
      <c r="C4" s="59">
        <v>30.87</v>
      </c>
      <c r="D4" s="59">
        <v>2.77</v>
      </c>
      <c r="E4" s="59">
        <v>0.91</v>
      </c>
      <c r="F4" s="59">
        <v>0.16</v>
      </c>
      <c r="G4" s="59">
        <v>0.38</v>
      </c>
      <c r="H4" s="59">
        <v>0.23</v>
      </c>
      <c r="I4" s="72">
        <v>0.11</v>
      </c>
      <c r="J4" s="73">
        <v>0.35</v>
      </c>
      <c r="K4" s="59">
        <f t="shared" si="0"/>
        <v>1.5321046373365041</v>
      </c>
      <c r="L4" s="61">
        <f t="shared" si="1"/>
        <v>11.144404332129964</v>
      </c>
    </row>
    <row r="5" spans="1:12" ht="24.75" customHeight="1" x14ac:dyDescent="0.3">
      <c r="A5" s="75">
        <v>0</v>
      </c>
      <c r="B5" s="57">
        <v>50.97</v>
      </c>
      <c r="C5" s="59">
        <v>29.12</v>
      </c>
      <c r="D5" s="59">
        <v>2.42</v>
      </c>
      <c r="E5" s="59">
        <v>1.87</v>
      </c>
      <c r="F5" s="59">
        <v>0.17</v>
      </c>
      <c r="G5" s="59">
        <v>0.88</v>
      </c>
      <c r="H5" s="59">
        <v>0.23</v>
      </c>
      <c r="I5" s="59">
        <v>0.12</v>
      </c>
      <c r="J5" s="73">
        <v>0.28999999999999998</v>
      </c>
      <c r="K5" s="59">
        <f t="shared" ref="K5:K9" si="2">B5/(C5+D5)</f>
        <v>1.6160431198478122</v>
      </c>
      <c r="L5" s="61">
        <f t="shared" si="1"/>
        <v>12.03305785123967</v>
      </c>
    </row>
    <row r="6" spans="1:12" ht="24.75" customHeight="1" x14ac:dyDescent="0.3">
      <c r="A6" s="75">
        <v>0</v>
      </c>
      <c r="B6" s="57">
        <v>51.51</v>
      </c>
      <c r="C6" s="59">
        <v>30.4</v>
      </c>
      <c r="D6" s="59">
        <v>3.44</v>
      </c>
      <c r="E6" s="59">
        <v>1.1200000000000001</v>
      </c>
      <c r="F6" s="59">
        <v>0.15</v>
      </c>
      <c r="G6" s="59">
        <v>0.19</v>
      </c>
      <c r="H6" s="59">
        <v>0.23</v>
      </c>
      <c r="I6" s="59">
        <v>0.11</v>
      </c>
      <c r="J6" s="60">
        <v>0.25</v>
      </c>
      <c r="K6" s="57">
        <f t="shared" si="2"/>
        <v>1.522163120567376</v>
      </c>
      <c r="L6" s="61">
        <f t="shared" si="1"/>
        <v>8.8372093023255811</v>
      </c>
    </row>
    <row r="7" spans="1:12" ht="24.75" customHeight="1" x14ac:dyDescent="0.3">
      <c r="A7" s="75">
        <v>0</v>
      </c>
      <c r="B7" s="57">
        <v>50.03</v>
      </c>
      <c r="C7" s="59">
        <v>29.12</v>
      </c>
      <c r="D7" s="59">
        <v>1.47</v>
      </c>
      <c r="E7" s="59">
        <v>0.85</v>
      </c>
      <c r="F7" s="59">
        <v>0.12</v>
      </c>
      <c r="G7" s="59">
        <v>0.56000000000000005</v>
      </c>
      <c r="H7" s="59">
        <v>0.22</v>
      </c>
      <c r="I7" s="59">
        <v>0.1</v>
      </c>
      <c r="J7" s="60">
        <v>0.24</v>
      </c>
      <c r="K7" s="57">
        <f t="shared" si="2"/>
        <v>1.6355017979731938</v>
      </c>
      <c r="L7" s="61">
        <f t="shared" si="1"/>
        <v>19.80952380952381</v>
      </c>
    </row>
    <row r="8" spans="1:12" ht="24.75" customHeight="1" x14ac:dyDescent="0.3">
      <c r="A8" s="75">
        <v>0</v>
      </c>
      <c r="B8" s="57">
        <v>49.4</v>
      </c>
      <c r="C8" s="63">
        <v>29.27</v>
      </c>
      <c r="D8" s="63">
        <v>1.65</v>
      </c>
      <c r="E8" s="63">
        <v>1.1599999999999999</v>
      </c>
      <c r="F8" s="63">
        <v>0.12</v>
      </c>
      <c r="G8" s="63">
        <v>0.68</v>
      </c>
      <c r="H8" s="63">
        <v>0.23</v>
      </c>
      <c r="I8" s="63">
        <v>0.09</v>
      </c>
      <c r="J8" s="60">
        <v>0.27</v>
      </c>
      <c r="K8" s="57">
        <f t="shared" si="2"/>
        <v>1.5976714100905562</v>
      </c>
      <c r="L8" s="61">
        <f t="shared" si="1"/>
        <v>17.739393939393938</v>
      </c>
    </row>
    <row r="9" spans="1:12" ht="24.75" customHeight="1" x14ac:dyDescent="0.3">
      <c r="A9" s="75">
        <v>0</v>
      </c>
      <c r="B9" s="57">
        <v>49.67</v>
      </c>
      <c r="C9" s="63">
        <v>28.58</v>
      </c>
      <c r="D9" s="63">
        <v>1.67</v>
      </c>
      <c r="E9" s="63">
        <v>1.1200000000000001</v>
      </c>
      <c r="F9" s="63">
        <v>0.13</v>
      </c>
      <c r="G9" s="63">
        <v>0.66</v>
      </c>
      <c r="H9" s="63">
        <v>0.22</v>
      </c>
      <c r="I9" s="63">
        <v>0.1</v>
      </c>
      <c r="J9" s="60">
        <v>0.32</v>
      </c>
      <c r="K9" s="57">
        <f t="shared" si="2"/>
        <v>1.6419834710743801</v>
      </c>
      <c r="L9" s="61">
        <f t="shared" si="1"/>
        <v>17.113772455089819</v>
      </c>
    </row>
    <row r="10" spans="1:12" ht="24.75" customHeight="1" x14ac:dyDescent="0.3">
      <c r="A10" s="75">
        <v>0</v>
      </c>
      <c r="B10" s="57">
        <v>49.96</v>
      </c>
      <c r="C10" s="59">
        <v>27.84</v>
      </c>
      <c r="D10" s="59">
        <v>1.62</v>
      </c>
      <c r="E10" s="59">
        <v>1.31</v>
      </c>
      <c r="F10" s="59">
        <v>0.14000000000000001</v>
      </c>
      <c r="G10" s="59">
        <v>0.87</v>
      </c>
      <c r="H10" s="59">
        <v>0.23</v>
      </c>
      <c r="I10" s="59">
        <v>0.11</v>
      </c>
      <c r="J10" s="60">
        <v>0.28999999999999998</v>
      </c>
      <c r="K10" s="57">
        <f>B10/(C10+D10)</f>
        <v>1.6958587915818057</v>
      </c>
      <c r="L10" s="61">
        <f>C10/D10</f>
        <v>17.185185185185183</v>
      </c>
    </row>
    <row r="11" spans="1:12" ht="24.75" customHeight="1" x14ac:dyDescent="0.3">
      <c r="A11" s="75">
        <v>0</v>
      </c>
      <c r="B11" s="57">
        <v>49.79</v>
      </c>
      <c r="C11" s="59">
        <v>27.88</v>
      </c>
      <c r="D11" s="59">
        <v>1.9</v>
      </c>
      <c r="E11" s="59">
        <v>1.3</v>
      </c>
      <c r="F11" s="59">
        <v>0.14000000000000001</v>
      </c>
      <c r="G11" s="59">
        <v>0.84</v>
      </c>
      <c r="H11" s="59">
        <v>0.22</v>
      </c>
      <c r="I11" s="59">
        <v>0.11</v>
      </c>
      <c r="J11" s="60">
        <v>0.3</v>
      </c>
      <c r="K11" s="57">
        <f>B11/(C11+D11)</f>
        <v>1.6719274680993956</v>
      </c>
      <c r="L11" s="61">
        <f>C11/D11</f>
        <v>14.673684210526316</v>
      </c>
    </row>
    <row r="12" spans="1:12" ht="24.75" customHeight="1" x14ac:dyDescent="0.3">
      <c r="A12" s="75">
        <v>0</v>
      </c>
      <c r="B12" s="57">
        <v>48.48</v>
      </c>
      <c r="C12" s="59">
        <v>30.04</v>
      </c>
      <c r="D12" s="59">
        <v>1.27</v>
      </c>
      <c r="E12" s="59">
        <v>0.93</v>
      </c>
      <c r="F12" s="59">
        <v>0.12</v>
      </c>
      <c r="G12" s="59">
        <v>0.34</v>
      </c>
      <c r="H12" s="59">
        <v>0.23</v>
      </c>
      <c r="I12" s="59">
        <v>0.08</v>
      </c>
      <c r="J12" s="60">
        <v>0.36</v>
      </c>
      <c r="K12" s="57">
        <f>B12/(C12+D12)</f>
        <v>1.5483870967741935</v>
      </c>
      <c r="L12" s="61">
        <f>C12/D12</f>
        <v>23.653543307086615</v>
      </c>
    </row>
    <row r="13" spans="1:12" ht="24.75" customHeight="1" x14ac:dyDescent="0.3">
      <c r="A13" s="75">
        <v>0</v>
      </c>
      <c r="B13" s="57">
        <v>47.82</v>
      </c>
      <c r="C13" s="59">
        <v>30.43</v>
      </c>
      <c r="D13" s="59">
        <v>2.19</v>
      </c>
      <c r="E13" s="59">
        <v>0.82</v>
      </c>
      <c r="F13" s="59">
        <v>0.13</v>
      </c>
      <c r="G13" s="59">
        <v>0.12</v>
      </c>
      <c r="H13" s="59">
        <v>0.24</v>
      </c>
      <c r="I13" s="59">
        <v>0.1</v>
      </c>
      <c r="J13" s="60">
        <v>0.32</v>
      </c>
      <c r="K13" s="57">
        <f t="shared" ref="K13:K14" si="3">B13/(C13+D13)</f>
        <v>1.4659717964438996</v>
      </c>
      <c r="L13" s="61">
        <f t="shared" ref="L13:L14" si="4">C13/D13</f>
        <v>13.894977168949772</v>
      </c>
    </row>
    <row r="14" spans="1:12" ht="24.75" customHeight="1" x14ac:dyDescent="0.3">
      <c r="A14" s="75">
        <v>0</v>
      </c>
      <c r="B14" s="57">
        <v>49.81</v>
      </c>
      <c r="C14" s="59">
        <v>30.26</v>
      </c>
      <c r="D14" s="59">
        <v>0.85</v>
      </c>
      <c r="E14" s="59">
        <v>0.56999999999999995</v>
      </c>
      <c r="F14" s="59">
        <v>0.11</v>
      </c>
      <c r="G14" s="59">
        <v>0</v>
      </c>
      <c r="H14" s="59">
        <v>0.23</v>
      </c>
      <c r="I14" s="59">
        <v>0.08</v>
      </c>
      <c r="J14" s="60">
        <v>0.31</v>
      </c>
      <c r="K14" s="57">
        <f t="shared" si="3"/>
        <v>1.6010928961748634</v>
      </c>
      <c r="L14" s="61">
        <f t="shared" si="4"/>
        <v>35.6</v>
      </c>
    </row>
    <row r="15" spans="1:12" ht="24.75" customHeight="1" thickBot="1" x14ac:dyDescent="0.35">
      <c r="A15" s="75">
        <v>0</v>
      </c>
      <c r="B15" s="55">
        <v>48.4</v>
      </c>
      <c r="C15" s="63">
        <v>30.61</v>
      </c>
      <c r="D15" s="63">
        <v>0.73</v>
      </c>
      <c r="E15" s="63">
        <v>0.7</v>
      </c>
      <c r="F15" s="63">
        <v>0.11</v>
      </c>
      <c r="G15" s="63">
        <v>0.19</v>
      </c>
      <c r="H15" s="63">
        <v>0.24</v>
      </c>
      <c r="I15" s="63">
        <v>0.06</v>
      </c>
      <c r="J15" s="60">
        <v>0.33</v>
      </c>
      <c r="K15" s="57">
        <f>B15/(C15+D15)</f>
        <v>1.5443522654754307</v>
      </c>
      <c r="L15" s="61">
        <f>C15/D15</f>
        <v>41.93150684931507</v>
      </c>
    </row>
    <row r="16" spans="1:12" ht="24.75" customHeight="1" thickTop="1" thickBot="1" x14ac:dyDescent="0.35">
      <c r="A16" s="76"/>
      <c r="B16" s="77">
        <f t="shared" ref="B16:J16" si="5">AVERAGE(B6:B15)</f>
        <v>49.487000000000002</v>
      </c>
      <c r="C16" s="78">
        <f t="shared" si="5"/>
        <v>29.443000000000001</v>
      </c>
      <c r="D16" s="78">
        <f t="shared" si="5"/>
        <v>1.6790000000000003</v>
      </c>
      <c r="E16" s="78">
        <f t="shared" si="5"/>
        <v>0.98799999999999988</v>
      </c>
      <c r="F16" s="78">
        <f t="shared" si="5"/>
        <v>0.12700000000000003</v>
      </c>
      <c r="G16" s="78">
        <f t="shared" si="5"/>
        <v>0.44500000000000012</v>
      </c>
      <c r="H16" s="78">
        <f t="shared" si="5"/>
        <v>0.22900000000000001</v>
      </c>
      <c r="I16" s="78">
        <f t="shared" si="5"/>
        <v>9.4E-2</v>
      </c>
      <c r="J16" s="79">
        <f t="shared" si="5"/>
        <v>0.29900000000000004</v>
      </c>
      <c r="K16" s="77">
        <f>B16/(C16+D16)</f>
        <v>1.5900970374654586</v>
      </c>
      <c r="L16" s="80">
        <f>C16/D16</f>
        <v>17.536033353186419</v>
      </c>
    </row>
    <row r="26" ht="15.75" customHeight="1" x14ac:dyDescent="0.3"/>
  </sheetData>
  <printOptions horizontalCentered="1"/>
  <pageMargins left="0.5" right="0.25" top="0.5" bottom="0.25" header="0.3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65"/>
  <sheetViews>
    <sheetView zoomScaleNormal="100" workbookViewId="0">
      <pane xSplit="2" ySplit="5" topLeftCell="C9" activePane="bottomRight" state="frozen"/>
      <selection activeCell="A30" sqref="A30"/>
      <selection pane="topRight" activeCell="A30" sqref="A30"/>
      <selection pane="bottomLeft" activeCell="A30" sqref="A30"/>
      <selection pane="bottomRight" activeCell="J16" sqref="J16"/>
    </sheetView>
  </sheetViews>
  <sheetFormatPr defaultRowHeight="14.4" x14ac:dyDescent="0.3"/>
  <cols>
    <col min="1" max="2" width="12.5546875" customWidth="1"/>
    <col min="3" max="6" width="9.33203125" customWidth="1"/>
    <col min="7" max="11" width="8.5546875" customWidth="1"/>
    <col min="12" max="13" width="9.44140625" customWidth="1"/>
  </cols>
  <sheetData>
    <row r="1" spans="1:13" ht="27.75" customHeight="1" x14ac:dyDescent="0.3">
      <c r="B1" s="114" t="s">
        <v>4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ht="27.75" customHeight="1" x14ac:dyDescent="0.3">
      <c r="B2" s="115" t="s">
        <v>16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27.75" customHeight="1" thickBo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9" t="s">
        <v>15</v>
      </c>
      <c r="L3" s="116" t="e">
        <f>#REF!</f>
        <v>#REF!</v>
      </c>
      <c r="M3" s="117"/>
    </row>
    <row r="4" spans="1:13" ht="26.25" customHeight="1" thickTop="1" x14ac:dyDescent="0.3">
      <c r="A4" s="112" t="s">
        <v>14</v>
      </c>
      <c r="B4" s="118" t="s">
        <v>13</v>
      </c>
      <c r="C4" s="120" t="s">
        <v>11</v>
      </c>
      <c r="D4" s="121"/>
      <c r="E4" s="121"/>
      <c r="F4" s="121"/>
      <c r="G4" s="121"/>
      <c r="H4" s="121"/>
      <c r="I4" s="121"/>
      <c r="J4" s="121"/>
      <c r="K4" s="122"/>
      <c r="L4" s="123"/>
      <c r="M4" s="124"/>
    </row>
    <row r="5" spans="1:13" ht="24.75" customHeight="1" thickBot="1" x14ac:dyDescent="0.35">
      <c r="A5" s="113"/>
      <c r="B5" s="119"/>
      <c r="C5" s="34" t="s">
        <v>5</v>
      </c>
      <c r="D5" s="2" t="s">
        <v>6</v>
      </c>
      <c r="E5" s="2" t="s">
        <v>7</v>
      </c>
      <c r="F5" s="2" t="s">
        <v>0</v>
      </c>
      <c r="G5" s="2" t="s">
        <v>1</v>
      </c>
      <c r="H5" s="2" t="s">
        <v>8</v>
      </c>
      <c r="I5" s="1" t="s">
        <v>9</v>
      </c>
      <c r="J5" s="1" t="s">
        <v>10</v>
      </c>
      <c r="K5" s="7" t="s">
        <v>12</v>
      </c>
      <c r="L5" s="5" t="s">
        <v>2</v>
      </c>
      <c r="M5" s="8" t="s">
        <v>3</v>
      </c>
    </row>
    <row r="6" spans="1:13" ht="28.2" customHeight="1" thickTop="1" x14ac:dyDescent="0.3">
      <c r="A6" s="39">
        <v>45078</v>
      </c>
      <c r="B6" s="40">
        <v>0</v>
      </c>
      <c r="C6" s="35">
        <v>91.56</v>
      </c>
      <c r="D6" s="21">
        <v>0.81</v>
      </c>
      <c r="E6" s="16">
        <v>0.82</v>
      </c>
      <c r="F6" s="16">
        <v>0.44</v>
      </c>
      <c r="G6" s="16">
        <v>0.05</v>
      </c>
      <c r="H6" s="16">
        <v>0.13</v>
      </c>
      <c r="I6" s="16">
        <v>0</v>
      </c>
      <c r="J6" s="16">
        <v>0.06</v>
      </c>
      <c r="K6" s="17">
        <v>0</v>
      </c>
      <c r="L6" s="9">
        <f t="shared" ref="L6:L64" si="0">C6/(D6+E6)</f>
        <v>56.171779141104302</v>
      </c>
      <c r="M6" s="10">
        <f t="shared" ref="M6:M64" si="1">D6/E6</f>
        <v>0.98780487804878059</v>
      </c>
    </row>
    <row r="7" spans="1:13" ht="28.2" customHeight="1" x14ac:dyDescent="0.3">
      <c r="A7" s="20">
        <v>45079</v>
      </c>
      <c r="B7" s="40">
        <v>0</v>
      </c>
      <c r="C7" s="32">
        <v>74.81</v>
      </c>
      <c r="D7" s="4">
        <v>6.85</v>
      </c>
      <c r="E7" s="4">
        <v>9.5299999999999994</v>
      </c>
      <c r="F7" s="3">
        <v>0.4</v>
      </c>
      <c r="G7" s="3">
        <v>0.03</v>
      </c>
      <c r="H7" s="3">
        <v>0.04</v>
      </c>
      <c r="I7" s="3">
        <v>0.01</v>
      </c>
      <c r="J7" s="3">
        <v>7.0000000000000007E-2</v>
      </c>
      <c r="K7" s="15">
        <v>0.02</v>
      </c>
      <c r="L7" s="6">
        <f t="shared" ref="L7:L34" si="2">C7/(D7+E7)</f>
        <v>4.5671550671550678</v>
      </c>
      <c r="M7" s="11">
        <f t="shared" ref="M7:M34" si="3">D7/E7</f>
        <v>0.7187827911857293</v>
      </c>
    </row>
    <row r="8" spans="1:13" ht="28.2" customHeight="1" x14ac:dyDescent="0.3">
      <c r="A8" s="20">
        <v>45080</v>
      </c>
      <c r="B8" s="40">
        <v>0</v>
      </c>
      <c r="C8" s="32">
        <v>90.81</v>
      </c>
      <c r="D8" s="4">
        <v>1.72</v>
      </c>
      <c r="E8" s="4">
        <v>0.75</v>
      </c>
      <c r="F8" s="3">
        <v>0.25</v>
      </c>
      <c r="G8" s="3">
        <v>7.0000000000000007E-2</v>
      </c>
      <c r="H8" s="3">
        <v>0.03</v>
      </c>
      <c r="I8" s="3">
        <v>0</v>
      </c>
      <c r="J8" s="3">
        <v>0.05</v>
      </c>
      <c r="K8" s="15">
        <v>0</v>
      </c>
      <c r="L8" s="6">
        <f t="shared" si="2"/>
        <v>36.765182186234824</v>
      </c>
      <c r="M8" s="11">
        <f t="shared" si="3"/>
        <v>2.2933333333333334</v>
      </c>
    </row>
    <row r="9" spans="1:13" ht="28.2" customHeight="1" x14ac:dyDescent="0.3">
      <c r="A9" s="20">
        <v>45081</v>
      </c>
      <c r="B9" s="40">
        <v>0</v>
      </c>
      <c r="C9" s="32">
        <v>92.36</v>
      </c>
      <c r="D9" s="3">
        <v>0.88</v>
      </c>
      <c r="E9" s="3">
        <v>0.81</v>
      </c>
      <c r="F9" s="3">
        <v>0.19</v>
      </c>
      <c r="G9" s="3">
        <v>7.0000000000000007E-2</v>
      </c>
      <c r="H9" s="3">
        <v>0.02</v>
      </c>
      <c r="I9" s="3">
        <v>0</v>
      </c>
      <c r="J9" s="3">
        <v>0.05</v>
      </c>
      <c r="K9" s="15">
        <v>0</v>
      </c>
      <c r="L9" s="6">
        <f t="shared" si="2"/>
        <v>54.650887573964496</v>
      </c>
      <c r="M9" s="11">
        <f t="shared" si="3"/>
        <v>1.0864197530864197</v>
      </c>
    </row>
    <row r="10" spans="1:13" ht="28.2" customHeight="1" x14ac:dyDescent="0.3">
      <c r="A10" s="20">
        <v>45082</v>
      </c>
      <c r="B10" s="40">
        <v>0</v>
      </c>
      <c r="C10" s="32">
        <v>92</v>
      </c>
      <c r="D10" s="4">
        <v>1.06</v>
      </c>
      <c r="E10" s="3">
        <v>1.36</v>
      </c>
      <c r="F10" s="3">
        <v>0.36</v>
      </c>
      <c r="G10" s="3">
        <v>0.06</v>
      </c>
      <c r="H10" s="3">
        <v>0.03</v>
      </c>
      <c r="I10" s="3">
        <v>0</v>
      </c>
      <c r="J10" s="3">
        <v>0.06</v>
      </c>
      <c r="K10" s="15">
        <v>0</v>
      </c>
      <c r="L10" s="6">
        <f t="shared" si="2"/>
        <v>38.016528925619838</v>
      </c>
      <c r="M10" s="11">
        <f t="shared" si="3"/>
        <v>0.77941176470588236</v>
      </c>
    </row>
    <row r="11" spans="1:13" ht="28.2" customHeight="1" x14ac:dyDescent="0.3">
      <c r="A11" s="20">
        <v>45083</v>
      </c>
      <c r="B11" s="40">
        <v>0</v>
      </c>
      <c r="C11" s="32">
        <v>94.01</v>
      </c>
      <c r="D11" s="3">
        <v>0.6</v>
      </c>
      <c r="E11" s="3">
        <v>0.95</v>
      </c>
      <c r="F11" s="3">
        <v>0.16</v>
      </c>
      <c r="G11" s="4">
        <v>0.08</v>
      </c>
      <c r="H11" s="3">
        <v>0.01</v>
      </c>
      <c r="I11" s="3">
        <v>0</v>
      </c>
      <c r="J11" s="3">
        <v>0.05</v>
      </c>
      <c r="K11" s="15">
        <v>0</v>
      </c>
      <c r="L11" s="6">
        <f t="shared" si="2"/>
        <v>60.651612903225818</v>
      </c>
      <c r="M11" s="11">
        <f t="shared" si="3"/>
        <v>0.63157894736842102</v>
      </c>
    </row>
    <row r="12" spans="1:13" ht="28.2" customHeight="1" x14ac:dyDescent="0.3">
      <c r="A12" s="20">
        <v>45084</v>
      </c>
      <c r="B12" s="40">
        <v>0</v>
      </c>
      <c r="C12" s="32">
        <v>93.79</v>
      </c>
      <c r="D12" s="3">
        <v>0.56999999999999995</v>
      </c>
      <c r="E12" s="3">
        <v>0.99</v>
      </c>
      <c r="F12" s="3">
        <v>0.17</v>
      </c>
      <c r="G12" s="3">
        <v>0.01</v>
      </c>
      <c r="H12" s="3">
        <v>0.01</v>
      </c>
      <c r="I12" s="3">
        <v>0</v>
      </c>
      <c r="J12" s="3">
        <v>0.05</v>
      </c>
      <c r="K12" s="15">
        <v>0</v>
      </c>
      <c r="L12" s="6">
        <f t="shared" si="2"/>
        <v>60.121794871794876</v>
      </c>
      <c r="M12" s="11">
        <f t="shared" si="3"/>
        <v>0.57575757575757569</v>
      </c>
    </row>
    <row r="13" spans="1:13" ht="28.2" customHeight="1" x14ac:dyDescent="0.3">
      <c r="A13" s="20">
        <v>45087</v>
      </c>
      <c r="B13" s="40">
        <v>0</v>
      </c>
      <c r="C13" s="32">
        <v>100.52</v>
      </c>
      <c r="D13" s="3">
        <v>0.87</v>
      </c>
      <c r="E13" s="3">
        <v>0.33</v>
      </c>
      <c r="F13" s="3">
        <v>0.39</v>
      </c>
      <c r="G13" s="3">
        <v>0.06</v>
      </c>
      <c r="H13" s="3">
        <v>0.03</v>
      </c>
      <c r="I13" s="3">
        <v>0</v>
      </c>
      <c r="J13" s="3">
        <v>0.05</v>
      </c>
      <c r="K13" s="15">
        <v>0.01</v>
      </c>
      <c r="L13" s="6">
        <f t="shared" si="2"/>
        <v>83.766666666666666</v>
      </c>
      <c r="M13" s="11">
        <f t="shared" si="3"/>
        <v>2.6363636363636362</v>
      </c>
    </row>
    <row r="14" spans="1:13" ht="28.2" customHeight="1" x14ac:dyDescent="0.3">
      <c r="A14" s="20">
        <v>45088</v>
      </c>
      <c r="B14" s="40">
        <v>0</v>
      </c>
      <c r="C14" s="32">
        <v>99.84</v>
      </c>
      <c r="D14" s="4">
        <v>1.02</v>
      </c>
      <c r="E14" s="3">
        <v>7.0000000000000007E-2</v>
      </c>
      <c r="F14" s="3">
        <v>0.4</v>
      </c>
      <c r="G14" s="3">
        <v>0.05</v>
      </c>
      <c r="H14" s="3">
        <v>0.02</v>
      </c>
      <c r="I14" s="3">
        <v>0</v>
      </c>
      <c r="J14" s="3">
        <v>0.06</v>
      </c>
      <c r="K14" s="15">
        <v>0.01</v>
      </c>
      <c r="L14" s="6">
        <f t="shared" si="2"/>
        <v>91.596330275229349</v>
      </c>
      <c r="M14" s="11">
        <f t="shared" si="3"/>
        <v>14.571428571428571</v>
      </c>
    </row>
    <row r="15" spans="1:13" ht="28.2" customHeight="1" x14ac:dyDescent="0.3">
      <c r="A15" s="20"/>
      <c r="B15" s="40"/>
      <c r="C15" s="32"/>
      <c r="D15" s="4"/>
      <c r="E15" s="3"/>
      <c r="F15" s="3"/>
      <c r="G15" s="3"/>
      <c r="H15" s="3"/>
      <c r="I15" s="3"/>
      <c r="J15" s="3"/>
      <c r="K15" s="15"/>
      <c r="L15" s="6" t="e">
        <f t="shared" si="2"/>
        <v>#DIV/0!</v>
      </c>
      <c r="M15" s="11" t="e">
        <f t="shared" si="3"/>
        <v>#DIV/0!</v>
      </c>
    </row>
    <row r="16" spans="1:13" ht="28.2" customHeight="1" x14ac:dyDescent="0.3">
      <c r="A16" s="20"/>
      <c r="B16" s="40"/>
      <c r="C16" s="32"/>
      <c r="D16" s="3"/>
      <c r="E16" s="3"/>
      <c r="F16" s="3"/>
      <c r="G16" s="3"/>
      <c r="H16" s="3"/>
      <c r="I16" s="3"/>
      <c r="J16" s="3"/>
      <c r="K16" s="15"/>
      <c r="L16" s="6" t="e">
        <f t="shared" si="2"/>
        <v>#DIV/0!</v>
      </c>
      <c r="M16" s="11" t="e">
        <f t="shared" si="3"/>
        <v>#DIV/0!</v>
      </c>
    </row>
    <row r="17" spans="1:13" ht="28.2" customHeight="1" x14ac:dyDescent="0.3">
      <c r="A17" s="20"/>
      <c r="B17" s="40"/>
      <c r="C17" s="32"/>
      <c r="D17" s="3"/>
      <c r="E17" s="3"/>
      <c r="F17" s="3"/>
      <c r="G17" s="3"/>
      <c r="H17" s="3"/>
      <c r="I17" s="3"/>
      <c r="J17" s="4"/>
      <c r="K17" s="15"/>
      <c r="L17" s="6" t="e">
        <f t="shared" si="2"/>
        <v>#DIV/0!</v>
      </c>
      <c r="M17" s="11" t="e">
        <f t="shared" si="3"/>
        <v>#DIV/0!</v>
      </c>
    </row>
    <row r="18" spans="1:13" ht="28.2" customHeight="1" x14ac:dyDescent="0.3">
      <c r="A18" s="20"/>
      <c r="B18" s="40"/>
      <c r="C18" s="32"/>
      <c r="D18" s="3"/>
      <c r="E18" s="4"/>
      <c r="F18" s="3"/>
      <c r="G18" s="3"/>
      <c r="H18" s="3"/>
      <c r="I18" s="3"/>
      <c r="J18" s="3"/>
      <c r="K18" s="15"/>
      <c r="L18" s="6" t="e">
        <f t="shared" si="2"/>
        <v>#DIV/0!</v>
      </c>
      <c r="M18" s="11" t="e">
        <f t="shared" si="3"/>
        <v>#DIV/0!</v>
      </c>
    </row>
    <row r="19" spans="1:13" ht="28.2" customHeight="1" x14ac:dyDescent="0.3">
      <c r="A19" s="20"/>
      <c r="B19" s="40"/>
      <c r="C19" s="12"/>
      <c r="D19" s="4"/>
      <c r="E19" s="3"/>
      <c r="F19" s="3"/>
      <c r="G19" s="3"/>
      <c r="H19" s="3"/>
      <c r="I19" s="3"/>
      <c r="J19" s="3"/>
      <c r="K19" s="15"/>
      <c r="L19" s="6" t="e">
        <f t="shared" si="2"/>
        <v>#DIV/0!</v>
      </c>
      <c r="M19" s="11" t="e">
        <f t="shared" si="3"/>
        <v>#DIV/0!</v>
      </c>
    </row>
    <row r="20" spans="1:13" ht="28.2" customHeight="1" x14ac:dyDescent="0.3">
      <c r="A20" s="20"/>
      <c r="B20" s="40"/>
      <c r="C20" s="32"/>
      <c r="D20" s="3"/>
      <c r="E20" s="3"/>
      <c r="F20" s="3"/>
      <c r="G20" s="3"/>
      <c r="H20" s="3"/>
      <c r="I20" s="3"/>
      <c r="J20" s="3"/>
      <c r="K20" s="15"/>
      <c r="L20" s="6" t="e">
        <f t="shared" si="2"/>
        <v>#DIV/0!</v>
      </c>
      <c r="M20" s="11" t="e">
        <f t="shared" si="3"/>
        <v>#DIV/0!</v>
      </c>
    </row>
    <row r="21" spans="1:13" ht="28.2" customHeight="1" x14ac:dyDescent="0.3">
      <c r="A21" s="20"/>
      <c r="B21" s="40"/>
      <c r="C21" s="32"/>
      <c r="D21" s="3"/>
      <c r="E21" s="3"/>
      <c r="F21" s="3"/>
      <c r="G21" s="3"/>
      <c r="H21" s="3"/>
      <c r="I21" s="3"/>
      <c r="J21" s="3"/>
      <c r="K21" s="15"/>
      <c r="L21" s="6" t="e">
        <f t="shared" si="2"/>
        <v>#DIV/0!</v>
      </c>
      <c r="M21" s="11" t="e">
        <f t="shared" si="3"/>
        <v>#DIV/0!</v>
      </c>
    </row>
    <row r="22" spans="1:13" ht="28.2" customHeight="1" x14ac:dyDescent="0.3">
      <c r="A22" s="20"/>
      <c r="B22" s="40"/>
      <c r="C22" s="32"/>
      <c r="D22" s="3"/>
      <c r="E22" s="3"/>
      <c r="F22" s="3"/>
      <c r="G22" s="3"/>
      <c r="H22" s="3"/>
      <c r="I22" s="3"/>
      <c r="J22" s="3"/>
      <c r="K22" s="15"/>
      <c r="L22" s="6" t="e">
        <f t="shared" si="2"/>
        <v>#DIV/0!</v>
      </c>
      <c r="M22" s="11" t="e">
        <f t="shared" si="3"/>
        <v>#DIV/0!</v>
      </c>
    </row>
    <row r="23" spans="1:13" ht="28.2" customHeight="1" x14ac:dyDescent="0.3">
      <c r="A23" s="18"/>
      <c r="B23" s="40"/>
      <c r="C23" s="32"/>
      <c r="D23" s="3"/>
      <c r="E23" s="3"/>
      <c r="F23" s="3"/>
      <c r="G23" s="3"/>
      <c r="H23" s="3"/>
      <c r="I23" s="3"/>
      <c r="J23" s="3"/>
      <c r="K23" s="15"/>
      <c r="L23" s="6" t="e">
        <f t="shared" si="2"/>
        <v>#DIV/0!</v>
      </c>
      <c r="M23" s="11" t="e">
        <f t="shared" si="3"/>
        <v>#DIV/0!</v>
      </c>
    </row>
    <row r="24" spans="1:13" ht="28.2" customHeight="1" x14ac:dyDescent="0.3">
      <c r="A24" s="20"/>
      <c r="B24" s="40"/>
      <c r="C24" s="32"/>
      <c r="D24" s="3"/>
      <c r="E24" s="3"/>
      <c r="F24" s="3"/>
      <c r="G24" s="3"/>
      <c r="H24" s="3"/>
      <c r="I24" s="3"/>
      <c r="J24" s="3"/>
      <c r="K24" s="15"/>
      <c r="L24" s="6" t="e">
        <f t="shared" si="2"/>
        <v>#DIV/0!</v>
      </c>
      <c r="M24" s="11" t="e">
        <f t="shared" si="3"/>
        <v>#DIV/0!</v>
      </c>
    </row>
    <row r="25" spans="1:13" ht="28.2" customHeight="1" x14ac:dyDescent="0.3">
      <c r="A25" s="18"/>
      <c r="B25" s="40"/>
      <c r="C25" s="32"/>
      <c r="D25" s="3"/>
      <c r="E25" s="3"/>
      <c r="F25" s="3"/>
      <c r="G25" s="3"/>
      <c r="H25" s="3"/>
      <c r="I25" s="3"/>
      <c r="J25" s="3"/>
      <c r="K25" s="15"/>
      <c r="L25" s="6" t="e">
        <f t="shared" si="2"/>
        <v>#DIV/0!</v>
      </c>
      <c r="M25" s="11" t="e">
        <f t="shared" si="3"/>
        <v>#DIV/0!</v>
      </c>
    </row>
    <row r="26" spans="1:13" ht="28.2" customHeight="1" x14ac:dyDescent="0.3">
      <c r="A26" s="20"/>
      <c r="B26" s="40"/>
      <c r="C26" s="33"/>
      <c r="D26" s="14"/>
      <c r="E26" s="14"/>
      <c r="F26" s="14"/>
      <c r="G26" s="14"/>
      <c r="H26" s="14"/>
      <c r="I26" s="14"/>
      <c r="J26" s="14"/>
      <c r="K26" s="23"/>
      <c r="L26" s="24" t="e">
        <f t="shared" si="2"/>
        <v>#DIV/0!</v>
      </c>
      <c r="M26" s="25" t="e">
        <f t="shared" si="3"/>
        <v>#DIV/0!</v>
      </c>
    </row>
    <row r="27" spans="1:13" ht="21.75" customHeight="1" x14ac:dyDescent="0.3">
      <c r="A27" s="18"/>
      <c r="B27" s="40"/>
      <c r="C27" s="33"/>
      <c r="D27" s="14"/>
      <c r="E27" s="14"/>
      <c r="F27" s="14"/>
      <c r="G27" s="14"/>
      <c r="H27" s="14"/>
      <c r="I27" s="14"/>
      <c r="J27" s="14"/>
      <c r="K27" s="23"/>
      <c r="L27" s="24" t="e">
        <f t="shared" si="2"/>
        <v>#DIV/0!</v>
      </c>
      <c r="M27" s="29" t="e">
        <f t="shared" si="3"/>
        <v>#DIV/0!</v>
      </c>
    </row>
    <row r="28" spans="1:13" ht="21.75" customHeight="1" x14ac:dyDescent="0.3">
      <c r="A28" s="18"/>
      <c r="B28" s="40"/>
      <c r="C28" s="32"/>
      <c r="D28" s="3"/>
      <c r="E28" s="3"/>
      <c r="F28" s="3"/>
      <c r="G28" s="3"/>
      <c r="H28" s="3"/>
      <c r="I28" s="3"/>
      <c r="J28" s="3"/>
      <c r="K28" s="15"/>
      <c r="L28" s="6" t="e">
        <f t="shared" si="2"/>
        <v>#DIV/0!</v>
      </c>
      <c r="M28" s="30" t="e">
        <f t="shared" si="3"/>
        <v>#DIV/0!</v>
      </c>
    </row>
    <row r="29" spans="1:13" ht="21.75" customHeight="1" x14ac:dyDescent="0.3">
      <c r="A29" s="20"/>
      <c r="B29" s="40"/>
      <c r="C29" s="32"/>
      <c r="D29" s="3"/>
      <c r="E29" s="3"/>
      <c r="F29" s="3"/>
      <c r="G29" s="3"/>
      <c r="H29" s="3"/>
      <c r="I29" s="3"/>
      <c r="J29" s="3"/>
      <c r="K29" s="15"/>
      <c r="L29" s="6" t="e">
        <f t="shared" si="2"/>
        <v>#DIV/0!</v>
      </c>
      <c r="M29" s="30" t="e">
        <f t="shared" si="3"/>
        <v>#DIV/0!</v>
      </c>
    </row>
    <row r="30" spans="1:13" ht="21.75" customHeight="1" x14ac:dyDescent="0.3">
      <c r="A30" s="20"/>
      <c r="B30" s="40"/>
      <c r="C30" s="32"/>
      <c r="D30" s="3"/>
      <c r="E30" s="3"/>
      <c r="F30" s="3"/>
      <c r="G30" s="3"/>
      <c r="H30" s="3"/>
      <c r="I30" s="3"/>
      <c r="J30" s="3"/>
      <c r="K30" s="15"/>
      <c r="L30" s="6" t="e">
        <f t="shared" si="2"/>
        <v>#DIV/0!</v>
      </c>
      <c r="M30" s="30" t="e">
        <f t="shared" si="3"/>
        <v>#DIV/0!</v>
      </c>
    </row>
    <row r="31" spans="1:13" ht="21.75" customHeight="1" x14ac:dyDescent="0.3">
      <c r="A31" s="20"/>
      <c r="B31" s="40"/>
      <c r="C31" s="32"/>
      <c r="D31" s="3"/>
      <c r="E31" s="3"/>
      <c r="F31" s="3"/>
      <c r="G31" s="3"/>
      <c r="H31" s="3"/>
      <c r="I31" s="3"/>
      <c r="J31" s="3"/>
      <c r="K31" s="15"/>
      <c r="L31" s="6" t="e">
        <f t="shared" si="2"/>
        <v>#DIV/0!</v>
      </c>
      <c r="M31" s="30" t="e">
        <f t="shared" si="3"/>
        <v>#DIV/0!</v>
      </c>
    </row>
    <row r="32" spans="1:13" ht="21.75" customHeight="1" x14ac:dyDescent="0.3">
      <c r="A32" s="18"/>
      <c r="B32" s="40"/>
      <c r="C32" s="32"/>
      <c r="D32" s="3"/>
      <c r="E32" s="3"/>
      <c r="F32" s="3"/>
      <c r="G32" s="3"/>
      <c r="H32" s="3"/>
      <c r="I32" s="3"/>
      <c r="J32" s="3"/>
      <c r="K32" s="15"/>
      <c r="L32" s="6" t="e">
        <f t="shared" si="2"/>
        <v>#DIV/0!</v>
      </c>
      <c r="M32" s="30" t="e">
        <f t="shared" si="3"/>
        <v>#DIV/0!</v>
      </c>
    </row>
    <row r="33" spans="1:13" ht="21.75" customHeight="1" x14ac:dyDescent="0.3">
      <c r="A33" s="20"/>
      <c r="B33" s="40"/>
      <c r="C33" s="32"/>
      <c r="D33" s="3"/>
      <c r="E33" s="3"/>
      <c r="F33" s="3"/>
      <c r="G33" s="3"/>
      <c r="H33" s="3"/>
      <c r="I33" s="3"/>
      <c r="J33" s="3"/>
      <c r="K33" s="15"/>
      <c r="L33" s="6" t="e">
        <f t="shared" si="2"/>
        <v>#DIV/0!</v>
      </c>
      <c r="M33" s="30" t="e">
        <f t="shared" si="3"/>
        <v>#DIV/0!</v>
      </c>
    </row>
    <row r="34" spans="1:13" ht="21.75" customHeight="1" x14ac:dyDescent="0.3">
      <c r="A34" s="18"/>
      <c r="B34" s="40"/>
      <c r="C34" s="32"/>
      <c r="D34" s="3"/>
      <c r="E34" s="3"/>
      <c r="F34" s="3"/>
      <c r="G34" s="3"/>
      <c r="H34" s="3"/>
      <c r="I34" s="3"/>
      <c r="J34" s="3"/>
      <c r="K34" s="15"/>
      <c r="L34" s="6" t="e">
        <f t="shared" si="2"/>
        <v>#DIV/0!</v>
      </c>
      <c r="M34" s="30" t="e">
        <f t="shared" si="3"/>
        <v>#DIV/0!</v>
      </c>
    </row>
    <row r="35" spans="1:13" ht="28.2" customHeight="1" x14ac:dyDescent="0.3">
      <c r="A35" s="20"/>
      <c r="B35" s="40"/>
      <c r="C35" s="32"/>
      <c r="D35" s="4"/>
      <c r="E35" s="4"/>
      <c r="F35" s="3"/>
      <c r="G35" s="3"/>
      <c r="H35" s="3"/>
      <c r="I35" s="3"/>
      <c r="J35" s="3"/>
      <c r="K35" s="15"/>
      <c r="L35" s="6" t="e">
        <f t="shared" si="0"/>
        <v>#DIV/0!</v>
      </c>
      <c r="M35" s="11" t="e">
        <f t="shared" si="1"/>
        <v>#DIV/0!</v>
      </c>
    </row>
    <row r="36" spans="1:13" ht="28.2" customHeight="1" x14ac:dyDescent="0.3">
      <c r="A36" s="20"/>
      <c r="B36" s="40"/>
      <c r="C36" s="32"/>
      <c r="D36" s="4"/>
      <c r="E36" s="4"/>
      <c r="F36" s="3"/>
      <c r="G36" s="3"/>
      <c r="H36" s="3"/>
      <c r="I36" s="3"/>
      <c r="J36" s="3"/>
      <c r="K36" s="15"/>
      <c r="L36" s="6" t="e">
        <f t="shared" si="0"/>
        <v>#DIV/0!</v>
      </c>
      <c r="M36" s="11" t="e">
        <f t="shared" si="1"/>
        <v>#DIV/0!</v>
      </c>
    </row>
    <row r="37" spans="1:13" ht="28.2" customHeight="1" x14ac:dyDescent="0.3">
      <c r="A37" s="20"/>
      <c r="B37" s="40"/>
      <c r="C37" s="32"/>
      <c r="D37" s="3"/>
      <c r="E37" s="3"/>
      <c r="F37" s="3"/>
      <c r="G37" s="3"/>
      <c r="H37" s="3"/>
      <c r="I37" s="3"/>
      <c r="J37" s="3"/>
      <c r="K37" s="15"/>
      <c r="L37" s="6" t="e">
        <f t="shared" si="0"/>
        <v>#DIV/0!</v>
      </c>
      <c r="M37" s="11" t="e">
        <f t="shared" si="1"/>
        <v>#DIV/0!</v>
      </c>
    </row>
    <row r="38" spans="1:13" ht="28.2" customHeight="1" x14ac:dyDescent="0.3">
      <c r="A38" s="20"/>
      <c r="B38" s="40"/>
      <c r="C38" s="32"/>
      <c r="D38" s="4"/>
      <c r="E38" s="3"/>
      <c r="F38" s="3"/>
      <c r="G38" s="3"/>
      <c r="H38" s="3"/>
      <c r="I38" s="3"/>
      <c r="J38" s="3"/>
      <c r="K38" s="15"/>
      <c r="L38" s="6" t="e">
        <f t="shared" si="0"/>
        <v>#DIV/0!</v>
      </c>
      <c r="M38" s="11" t="e">
        <f t="shared" si="1"/>
        <v>#DIV/0!</v>
      </c>
    </row>
    <row r="39" spans="1:13" ht="28.2" customHeight="1" x14ac:dyDescent="0.3">
      <c r="A39" s="20"/>
      <c r="B39" s="40"/>
      <c r="C39" s="32"/>
      <c r="D39" s="3"/>
      <c r="E39" s="3"/>
      <c r="F39" s="3"/>
      <c r="G39" s="4"/>
      <c r="H39" s="3"/>
      <c r="I39" s="3"/>
      <c r="J39" s="3"/>
      <c r="K39" s="15"/>
      <c r="L39" s="6" t="e">
        <f t="shared" si="0"/>
        <v>#DIV/0!</v>
      </c>
      <c r="M39" s="11" t="e">
        <f t="shared" si="1"/>
        <v>#DIV/0!</v>
      </c>
    </row>
    <row r="40" spans="1:13" ht="28.2" customHeight="1" x14ac:dyDescent="0.3">
      <c r="A40" s="20"/>
      <c r="B40" s="40"/>
      <c r="C40" s="32"/>
      <c r="D40" s="3"/>
      <c r="E40" s="3"/>
      <c r="F40" s="3"/>
      <c r="G40" s="3"/>
      <c r="H40" s="3"/>
      <c r="I40" s="3"/>
      <c r="J40" s="3"/>
      <c r="K40" s="15"/>
      <c r="L40" s="6" t="e">
        <f t="shared" si="0"/>
        <v>#DIV/0!</v>
      </c>
      <c r="M40" s="11" t="e">
        <f t="shared" si="1"/>
        <v>#DIV/0!</v>
      </c>
    </row>
    <row r="41" spans="1:13" ht="28.2" customHeight="1" x14ac:dyDescent="0.3">
      <c r="A41" s="20"/>
      <c r="B41" s="40"/>
      <c r="C41" s="32"/>
      <c r="D41" s="3"/>
      <c r="E41" s="3"/>
      <c r="F41" s="3"/>
      <c r="G41" s="3"/>
      <c r="H41" s="3"/>
      <c r="I41" s="3"/>
      <c r="J41" s="3"/>
      <c r="K41" s="15"/>
      <c r="L41" s="6" t="e">
        <f t="shared" si="0"/>
        <v>#DIV/0!</v>
      </c>
      <c r="M41" s="11" t="e">
        <f t="shared" si="1"/>
        <v>#DIV/0!</v>
      </c>
    </row>
    <row r="42" spans="1:13" ht="28.2" customHeight="1" x14ac:dyDescent="0.3">
      <c r="A42" s="20"/>
      <c r="B42" s="40"/>
      <c r="C42" s="32"/>
      <c r="D42" s="4"/>
      <c r="E42" s="3"/>
      <c r="F42" s="3"/>
      <c r="G42" s="3"/>
      <c r="H42" s="3"/>
      <c r="I42" s="3"/>
      <c r="J42" s="3"/>
      <c r="K42" s="15"/>
      <c r="L42" s="6" t="e">
        <f t="shared" si="0"/>
        <v>#DIV/0!</v>
      </c>
      <c r="M42" s="11" t="e">
        <f t="shared" si="1"/>
        <v>#DIV/0!</v>
      </c>
    </row>
    <row r="43" spans="1:13" ht="28.2" customHeight="1" x14ac:dyDescent="0.3">
      <c r="A43" s="20"/>
      <c r="B43" s="40"/>
      <c r="C43" s="32"/>
      <c r="D43" s="4"/>
      <c r="E43" s="3"/>
      <c r="F43" s="3"/>
      <c r="G43" s="3"/>
      <c r="H43" s="3"/>
      <c r="I43" s="3"/>
      <c r="J43" s="3"/>
      <c r="K43" s="15"/>
      <c r="L43" s="6" t="e">
        <f t="shared" si="0"/>
        <v>#DIV/0!</v>
      </c>
      <c r="M43" s="11" t="e">
        <f t="shared" si="1"/>
        <v>#DIV/0!</v>
      </c>
    </row>
    <row r="44" spans="1:13" ht="28.2" customHeight="1" x14ac:dyDescent="0.3">
      <c r="A44" s="20"/>
      <c r="B44" s="40"/>
      <c r="C44" s="32"/>
      <c r="D44" s="3"/>
      <c r="E44" s="3"/>
      <c r="F44" s="3"/>
      <c r="G44" s="3"/>
      <c r="H44" s="3"/>
      <c r="I44" s="3"/>
      <c r="J44" s="3"/>
      <c r="K44" s="15"/>
      <c r="L44" s="6" t="e">
        <f t="shared" si="0"/>
        <v>#DIV/0!</v>
      </c>
      <c r="M44" s="11" t="e">
        <f t="shared" si="1"/>
        <v>#DIV/0!</v>
      </c>
    </row>
    <row r="45" spans="1:13" ht="28.2" customHeight="1" x14ac:dyDescent="0.3">
      <c r="A45" s="20"/>
      <c r="B45" s="40"/>
      <c r="C45" s="32"/>
      <c r="D45" s="3"/>
      <c r="E45" s="3"/>
      <c r="F45" s="3"/>
      <c r="G45" s="3"/>
      <c r="H45" s="3"/>
      <c r="I45" s="3"/>
      <c r="J45" s="4"/>
      <c r="K45" s="15"/>
      <c r="L45" s="6" t="e">
        <f t="shared" si="0"/>
        <v>#DIV/0!</v>
      </c>
      <c r="M45" s="11" t="e">
        <f t="shared" si="1"/>
        <v>#DIV/0!</v>
      </c>
    </row>
    <row r="46" spans="1:13" ht="28.2" customHeight="1" x14ac:dyDescent="0.3">
      <c r="A46" s="20"/>
      <c r="B46" s="40"/>
      <c r="C46" s="32"/>
      <c r="D46" s="3"/>
      <c r="E46" s="4"/>
      <c r="F46" s="3"/>
      <c r="G46" s="3"/>
      <c r="H46" s="3"/>
      <c r="I46" s="3"/>
      <c r="J46" s="3"/>
      <c r="K46" s="15"/>
      <c r="L46" s="6" t="e">
        <f t="shared" si="0"/>
        <v>#DIV/0!</v>
      </c>
      <c r="M46" s="11" t="e">
        <f t="shared" si="1"/>
        <v>#DIV/0!</v>
      </c>
    </row>
    <row r="47" spans="1:13" ht="28.2" customHeight="1" x14ac:dyDescent="0.3">
      <c r="A47" s="20"/>
      <c r="B47" s="40"/>
      <c r="C47" s="12"/>
      <c r="D47" s="4"/>
      <c r="E47" s="3"/>
      <c r="F47" s="3"/>
      <c r="G47" s="3"/>
      <c r="H47" s="3"/>
      <c r="I47" s="3"/>
      <c r="J47" s="3"/>
      <c r="K47" s="15"/>
      <c r="L47" s="6" t="e">
        <f t="shared" si="0"/>
        <v>#DIV/0!</v>
      </c>
      <c r="M47" s="11" t="e">
        <f t="shared" si="1"/>
        <v>#DIV/0!</v>
      </c>
    </row>
    <row r="48" spans="1:13" ht="28.2" customHeight="1" x14ac:dyDescent="0.3">
      <c r="A48" s="20"/>
      <c r="B48" s="40"/>
      <c r="C48" s="32"/>
      <c r="D48" s="3"/>
      <c r="E48" s="3"/>
      <c r="F48" s="3"/>
      <c r="G48" s="3"/>
      <c r="H48" s="3"/>
      <c r="I48" s="3"/>
      <c r="J48" s="3"/>
      <c r="K48" s="15"/>
      <c r="L48" s="6" t="e">
        <f t="shared" si="0"/>
        <v>#DIV/0!</v>
      </c>
      <c r="M48" s="11" t="e">
        <f t="shared" si="1"/>
        <v>#DIV/0!</v>
      </c>
    </row>
    <row r="49" spans="1:13" ht="28.2" customHeight="1" x14ac:dyDescent="0.3">
      <c r="A49" s="20"/>
      <c r="B49" s="40"/>
      <c r="C49" s="32"/>
      <c r="D49" s="3"/>
      <c r="E49" s="3"/>
      <c r="F49" s="3"/>
      <c r="G49" s="3"/>
      <c r="H49" s="3"/>
      <c r="I49" s="3"/>
      <c r="J49" s="3"/>
      <c r="K49" s="15"/>
      <c r="L49" s="6" t="e">
        <f t="shared" si="0"/>
        <v>#DIV/0!</v>
      </c>
      <c r="M49" s="11" t="e">
        <f t="shared" si="1"/>
        <v>#DIV/0!</v>
      </c>
    </row>
    <row r="50" spans="1:13" ht="28.2" customHeight="1" x14ac:dyDescent="0.3">
      <c r="A50" s="18"/>
      <c r="B50" s="38"/>
      <c r="C50" s="32"/>
      <c r="D50" s="3"/>
      <c r="E50" s="3"/>
      <c r="F50" s="3"/>
      <c r="G50" s="3"/>
      <c r="H50" s="3"/>
      <c r="I50" s="3"/>
      <c r="J50" s="3"/>
      <c r="K50" s="15"/>
      <c r="L50" s="6" t="e">
        <f t="shared" si="0"/>
        <v>#DIV/0!</v>
      </c>
      <c r="M50" s="11" t="e">
        <f t="shared" si="1"/>
        <v>#DIV/0!</v>
      </c>
    </row>
    <row r="51" spans="1:13" ht="28.2" customHeight="1" x14ac:dyDescent="0.3">
      <c r="A51" s="18"/>
      <c r="B51" s="38"/>
      <c r="C51" s="32"/>
      <c r="D51" s="3"/>
      <c r="E51" s="3"/>
      <c r="F51" s="3"/>
      <c r="G51" s="3"/>
      <c r="H51" s="3"/>
      <c r="I51" s="3"/>
      <c r="J51" s="3"/>
      <c r="K51" s="15"/>
      <c r="L51" s="6" t="e">
        <f t="shared" si="0"/>
        <v>#DIV/0!</v>
      </c>
      <c r="M51" s="11" t="e">
        <f t="shared" si="1"/>
        <v>#DIV/0!</v>
      </c>
    </row>
    <row r="52" spans="1:13" ht="28.2" customHeight="1" x14ac:dyDescent="0.3">
      <c r="A52" s="22"/>
      <c r="B52" s="37"/>
      <c r="C52" s="32"/>
      <c r="D52" s="3"/>
      <c r="E52" s="3"/>
      <c r="F52" s="3"/>
      <c r="G52" s="3"/>
      <c r="H52" s="3"/>
      <c r="I52" s="3"/>
      <c r="J52" s="3"/>
      <c r="K52" s="15"/>
      <c r="L52" s="6" t="e">
        <f t="shared" si="0"/>
        <v>#DIV/0!</v>
      </c>
      <c r="M52" s="11" t="e">
        <f t="shared" si="1"/>
        <v>#DIV/0!</v>
      </c>
    </row>
    <row r="53" spans="1:13" ht="28.2" customHeight="1" x14ac:dyDescent="0.3">
      <c r="A53" s="18"/>
      <c r="B53" s="38"/>
      <c r="C53" s="32"/>
      <c r="D53" s="3"/>
      <c r="E53" s="3"/>
      <c r="F53" s="3"/>
      <c r="G53" s="3"/>
      <c r="H53" s="3"/>
      <c r="I53" s="3"/>
      <c r="J53" s="3"/>
      <c r="K53" s="15"/>
      <c r="L53" s="6" t="e">
        <f t="shared" si="0"/>
        <v>#DIV/0!</v>
      </c>
      <c r="M53" s="11" t="e">
        <f t="shared" si="1"/>
        <v>#DIV/0!</v>
      </c>
    </row>
    <row r="54" spans="1:13" ht="28.2" customHeight="1" x14ac:dyDescent="0.3">
      <c r="A54" s="18"/>
      <c r="B54" s="38"/>
      <c r="C54" s="33"/>
      <c r="D54" s="14"/>
      <c r="E54" s="14"/>
      <c r="F54" s="14"/>
      <c r="G54" s="14"/>
      <c r="H54" s="14"/>
      <c r="I54" s="14"/>
      <c r="J54" s="14"/>
      <c r="K54" s="23"/>
      <c r="L54" s="24" t="e">
        <f t="shared" si="0"/>
        <v>#DIV/0!</v>
      </c>
      <c r="M54" s="25" t="e">
        <f t="shared" si="1"/>
        <v>#DIV/0!</v>
      </c>
    </row>
    <row r="55" spans="1:13" ht="21.75" customHeight="1" x14ac:dyDescent="0.3">
      <c r="A55" s="18"/>
      <c r="B55" s="38"/>
      <c r="C55" s="33"/>
      <c r="D55" s="14"/>
      <c r="E55" s="14"/>
      <c r="F55" s="14"/>
      <c r="G55" s="14"/>
      <c r="H55" s="14"/>
      <c r="I55" s="14"/>
      <c r="J55" s="14"/>
      <c r="K55" s="23"/>
      <c r="L55" s="24" t="e">
        <f t="shared" si="0"/>
        <v>#DIV/0!</v>
      </c>
      <c r="M55" s="29" t="e">
        <f t="shared" si="1"/>
        <v>#DIV/0!</v>
      </c>
    </row>
    <row r="56" spans="1:13" ht="21.75" customHeight="1" x14ac:dyDescent="0.3">
      <c r="A56" s="18"/>
      <c r="B56" s="38"/>
      <c r="C56" s="32"/>
      <c r="D56" s="3"/>
      <c r="E56" s="3"/>
      <c r="F56" s="3"/>
      <c r="G56" s="3"/>
      <c r="H56" s="3"/>
      <c r="I56" s="3"/>
      <c r="J56" s="3"/>
      <c r="K56" s="15"/>
      <c r="L56" s="6" t="e">
        <f t="shared" si="0"/>
        <v>#DIV/0!</v>
      </c>
      <c r="M56" s="30" t="e">
        <f t="shared" si="1"/>
        <v>#DIV/0!</v>
      </c>
    </row>
    <row r="57" spans="1:13" ht="21.75" customHeight="1" x14ac:dyDescent="0.3">
      <c r="A57" s="18"/>
      <c r="B57" s="38"/>
      <c r="C57" s="32"/>
      <c r="D57" s="3"/>
      <c r="E57" s="3"/>
      <c r="F57" s="3"/>
      <c r="G57" s="3"/>
      <c r="H57" s="3"/>
      <c r="I57" s="3"/>
      <c r="J57" s="3"/>
      <c r="K57" s="15"/>
      <c r="L57" s="6" t="e">
        <f t="shared" si="0"/>
        <v>#DIV/0!</v>
      </c>
      <c r="M57" s="30" t="e">
        <f t="shared" si="1"/>
        <v>#DIV/0!</v>
      </c>
    </row>
    <row r="58" spans="1:13" ht="21.75" customHeight="1" x14ac:dyDescent="0.3">
      <c r="A58" s="18"/>
      <c r="B58" s="38"/>
      <c r="C58" s="32"/>
      <c r="D58" s="3"/>
      <c r="E58" s="3"/>
      <c r="F58" s="3"/>
      <c r="G58" s="3"/>
      <c r="H58" s="3"/>
      <c r="I58" s="3"/>
      <c r="J58" s="3"/>
      <c r="K58" s="15"/>
      <c r="L58" s="6" t="e">
        <f t="shared" si="0"/>
        <v>#DIV/0!</v>
      </c>
      <c r="M58" s="30" t="e">
        <f t="shared" si="1"/>
        <v>#DIV/0!</v>
      </c>
    </row>
    <row r="59" spans="1:13" ht="21.75" customHeight="1" x14ac:dyDescent="0.3">
      <c r="A59" s="18"/>
      <c r="B59" s="38"/>
      <c r="C59" s="32"/>
      <c r="D59" s="3"/>
      <c r="E59" s="3"/>
      <c r="F59" s="3"/>
      <c r="G59" s="3"/>
      <c r="H59" s="3"/>
      <c r="I59" s="3"/>
      <c r="J59" s="3"/>
      <c r="K59" s="15"/>
      <c r="L59" s="6" t="e">
        <f t="shared" si="0"/>
        <v>#DIV/0!</v>
      </c>
      <c r="M59" s="30" t="e">
        <f t="shared" si="1"/>
        <v>#DIV/0!</v>
      </c>
    </row>
    <row r="60" spans="1:13" ht="21.75" customHeight="1" x14ac:dyDescent="0.3">
      <c r="A60" s="18"/>
      <c r="B60" s="38"/>
      <c r="C60" s="32"/>
      <c r="D60" s="3"/>
      <c r="E60" s="3"/>
      <c r="F60" s="3"/>
      <c r="G60" s="3"/>
      <c r="H60" s="3"/>
      <c r="I60" s="3"/>
      <c r="J60" s="3"/>
      <c r="K60" s="15"/>
      <c r="L60" s="6" t="e">
        <f t="shared" si="0"/>
        <v>#DIV/0!</v>
      </c>
      <c r="M60" s="30" t="e">
        <f t="shared" si="1"/>
        <v>#DIV/0!</v>
      </c>
    </row>
    <row r="61" spans="1:13" ht="21.75" customHeight="1" x14ac:dyDescent="0.3">
      <c r="A61" s="18"/>
      <c r="B61" s="38"/>
      <c r="C61" s="32"/>
      <c r="D61" s="3"/>
      <c r="E61" s="3"/>
      <c r="F61" s="3"/>
      <c r="G61" s="3"/>
      <c r="H61" s="3"/>
      <c r="I61" s="3"/>
      <c r="J61" s="3"/>
      <c r="K61" s="15"/>
      <c r="L61" s="6" t="e">
        <f t="shared" si="0"/>
        <v>#DIV/0!</v>
      </c>
      <c r="M61" s="30" t="e">
        <f t="shared" si="1"/>
        <v>#DIV/0!</v>
      </c>
    </row>
    <row r="62" spans="1:13" ht="21.75" customHeight="1" x14ac:dyDescent="0.3">
      <c r="A62" s="18"/>
      <c r="B62" s="38"/>
      <c r="C62" s="32"/>
      <c r="D62" s="3"/>
      <c r="E62" s="3"/>
      <c r="F62" s="3"/>
      <c r="G62" s="3"/>
      <c r="H62" s="3"/>
      <c r="I62" s="3"/>
      <c r="J62" s="3"/>
      <c r="K62" s="15"/>
      <c r="L62" s="6" t="e">
        <f t="shared" si="0"/>
        <v>#DIV/0!</v>
      </c>
      <c r="M62" s="30" t="e">
        <f t="shared" si="1"/>
        <v>#DIV/0!</v>
      </c>
    </row>
    <row r="63" spans="1:13" ht="21.75" customHeight="1" x14ac:dyDescent="0.3">
      <c r="A63" s="18"/>
      <c r="B63" s="38"/>
      <c r="C63" s="32"/>
      <c r="D63" s="3"/>
      <c r="E63" s="3"/>
      <c r="F63" s="3"/>
      <c r="G63" s="3"/>
      <c r="H63" s="3"/>
      <c r="I63" s="3"/>
      <c r="J63" s="3"/>
      <c r="K63" s="15"/>
      <c r="L63" s="6" t="e">
        <f t="shared" si="0"/>
        <v>#DIV/0!</v>
      </c>
      <c r="M63" s="30" t="e">
        <f t="shared" si="1"/>
        <v>#DIV/0!</v>
      </c>
    </row>
    <row r="64" spans="1:13" ht="24" customHeight="1" thickBot="1" x14ac:dyDescent="0.35">
      <c r="A64" s="18"/>
      <c r="B64" s="38"/>
      <c r="C64" s="36"/>
      <c r="D64" s="26"/>
      <c r="E64" s="26"/>
      <c r="F64" s="26"/>
      <c r="G64" s="26"/>
      <c r="H64" s="26"/>
      <c r="I64" s="26"/>
      <c r="J64" s="26"/>
      <c r="K64" s="27"/>
      <c r="L64" s="28" t="e">
        <f t="shared" si="0"/>
        <v>#DIV/0!</v>
      </c>
      <c r="M64" s="31" t="e">
        <f t="shared" si="1"/>
        <v>#DIV/0!</v>
      </c>
    </row>
    <row r="65" ht="15" thickTop="1" x14ac:dyDescent="0.3"/>
  </sheetData>
  <mergeCells count="7">
    <mergeCell ref="A4:A5"/>
    <mergeCell ref="B1:M1"/>
    <mergeCell ref="B2:M2"/>
    <mergeCell ref="L3:M3"/>
    <mergeCell ref="B4:B5"/>
    <mergeCell ref="C4:K4"/>
    <mergeCell ref="L4:M4"/>
  </mergeCells>
  <printOptions horizontalCentered="1" verticalCentered="1"/>
  <pageMargins left="0" right="0" top="0" bottom="0" header="0.3" footer="0.3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13"/>
  <sheetViews>
    <sheetView zoomScaleNormal="100" workbookViewId="0">
      <selection activeCell="M4" sqref="M4"/>
    </sheetView>
  </sheetViews>
  <sheetFormatPr defaultColWidth="9.109375" defaultRowHeight="14.4" x14ac:dyDescent="0.3"/>
  <cols>
    <col min="1" max="2" width="12.5546875" style="42" customWidth="1"/>
    <col min="3" max="6" width="9.33203125" style="42" customWidth="1"/>
    <col min="7" max="11" width="8.5546875" style="42" customWidth="1"/>
    <col min="12" max="13" width="9.44140625" style="42" customWidth="1"/>
    <col min="14" max="16384" width="9.109375" style="42"/>
  </cols>
  <sheetData>
    <row r="1" spans="1:14" ht="26.25" customHeight="1" x14ac:dyDescent="0.3">
      <c r="A1" s="104" t="s">
        <v>14</v>
      </c>
      <c r="B1" s="110" t="s">
        <v>13</v>
      </c>
      <c r="C1" s="106" t="s">
        <v>11</v>
      </c>
      <c r="D1" s="107"/>
      <c r="E1" s="107"/>
      <c r="F1" s="107"/>
      <c r="G1" s="107"/>
      <c r="H1" s="107"/>
      <c r="I1" s="107"/>
      <c r="J1" s="107"/>
      <c r="K1" s="108"/>
      <c r="L1" s="107"/>
      <c r="M1" s="109"/>
    </row>
    <row r="2" spans="1:14" ht="24.75" customHeight="1" thickBot="1" x14ac:dyDescent="0.35">
      <c r="A2" s="105"/>
      <c r="B2" s="111"/>
      <c r="C2" s="70" t="s">
        <v>5</v>
      </c>
      <c r="D2" s="44" t="s">
        <v>6</v>
      </c>
      <c r="E2" s="44" t="s">
        <v>7</v>
      </c>
      <c r="F2" s="44" t="s">
        <v>0</v>
      </c>
      <c r="G2" s="44" t="s">
        <v>1</v>
      </c>
      <c r="H2" s="44" t="s">
        <v>8</v>
      </c>
      <c r="I2" s="45" t="s">
        <v>10</v>
      </c>
      <c r="J2" s="45" t="s">
        <v>9</v>
      </c>
      <c r="K2" s="46" t="s">
        <v>12</v>
      </c>
      <c r="L2" s="44" t="s">
        <v>2</v>
      </c>
      <c r="M2" s="47" t="s">
        <v>3</v>
      </c>
    </row>
    <row r="3" spans="1:14" ht="21.75" customHeight="1" thickTop="1" x14ac:dyDescent="0.3">
      <c r="A3" s="48"/>
      <c r="B3" s="40">
        <v>0</v>
      </c>
      <c r="C3" s="68">
        <v>30.1</v>
      </c>
      <c r="D3" s="72">
        <v>1.46</v>
      </c>
      <c r="E3" s="82">
        <v>53.38</v>
      </c>
      <c r="F3" s="72">
        <v>0.87</v>
      </c>
      <c r="G3" s="72">
        <v>0.19</v>
      </c>
      <c r="H3" s="82">
        <v>1.1200000000000001</v>
      </c>
      <c r="I3" s="72">
        <v>0.11</v>
      </c>
      <c r="J3" s="82">
        <v>0.47</v>
      </c>
      <c r="K3" s="83">
        <v>0.03</v>
      </c>
      <c r="L3" s="84">
        <f t="shared" ref="L3:L10" si="0">C3/(D3+E3)</f>
        <v>0.54886943836615609</v>
      </c>
      <c r="M3" s="85">
        <f t="shared" ref="M3:M12" si="1">D3/E3</f>
        <v>2.7351067815661295E-2</v>
      </c>
    </row>
    <row r="4" spans="1:14" ht="21.75" customHeight="1" x14ac:dyDescent="0.3">
      <c r="A4" s="48"/>
      <c r="B4" s="40">
        <v>4.1666666666666699E-2</v>
      </c>
      <c r="C4" s="57">
        <v>22.28</v>
      </c>
      <c r="D4" s="86">
        <v>1.28</v>
      </c>
      <c r="E4" s="59">
        <v>61.79</v>
      </c>
      <c r="F4" s="86">
        <v>0.81</v>
      </c>
      <c r="G4" s="86">
        <v>0.36</v>
      </c>
      <c r="H4" s="86">
        <v>1.43</v>
      </c>
      <c r="I4" s="86">
        <v>0.27</v>
      </c>
      <c r="J4" s="59">
        <v>0.69</v>
      </c>
      <c r="K4" s="69">
        <v>0.03</v>
      </c>
      <c r="L4" s="87">
        <f t="shared" ref="L4:L9" si="2">C4/(D4+E4)</f>
        <v>0.35325828444585383</v>
      </c>
      <c r="M4" s="88">
        <f t="shared" ref="M4:M9" si="3">D4/E4</f>
        <v>2.0715326104547661E-2</v>
      </c>
      <c r="N4" s="89"/>
    </row>
    <row r="5" spans="1:14" ht="21.75" customHeight="1" x14ac:dyDescent="0.3">
      <c r="A5" s="48"/>
      <c r="B5" s="40">
        <v>0</v>
      </c>
      <c r="C5" s="90">
        <v>23.15</v>
      </c>
      <c r="D5" s="59">
        <v>1.1499999999999999</v>
      </c>
      <c r="E5" s="86">
        <v>61.46</v>
      </c>
      <c r="F5" s="59">
        <v>0.93</v>
      </c>
      <c r="G5" s="59">
        <v>0.22</v>
      </c>
      <c r="H5" s="86">
        <v>1.37</v>
      </c>
      <c r="I5" s="86">
        <v>0.1</v>
      </c>
      <c r="J5" s="86">
        <v>0.53</v>
      </c>
      <c r="K5" s="69">
        <v>0.03</v>
      </c>
      <c r="L5" s="87">
        <f t="shared" si="2"/>
        <v>0.36974924133524995</v>
      </c>
      <c r="M5" s="88">
        <f t="shared" si="3"/>
        <v>1.8711356980149689E-2</v>
      </c>
    </row>
    <row r="6" spans="1:14" ht="21.75" customHeight="1" x14ac:dyDescent="0.3">
      <c r="A6" s="48"/>
      <c r="B6" s="40">
        <v>0</v>
      </c>
      <c r="C6" s="90">
        <v>23.16</v>
      </c>
      <c r="D6" s="59">
        <v>1</v>
      </c>
      <c r="E6" s="86">
        <v>59.47</v>
      </c>
      <c r="F6" s="86">
        <v>0.91</v>
      </c>
      <c r="G6" s="59">
        <v>0.19</v>
      </c>
      <c r="H6" s="86">
        <v>1.74</v>
      </c>
      <c r="I6" s="86">
        <v>0.09</v>
      </c>
      <c r="J6" s="86">
        <v>0.7</v>
      </c>
      <c r="K6" s="91">
        <v>0.03</v>
      </c>
      <c r="L6" s="87">
        <f t="shared" si="2"/>
        <v>0.38299983462874154</v>
      </c>
      <c r="M6" s="88">
        <f t="shared" si="3"/>
        <v>1.6815200941651252E-2</v>
      </c>
    </row>
    <row r="7" spans="1:14" ht="21.75" customHeight="1" x14ac:dyDescent="0.3">
      <c r="A7" s="48"/>
      <c r="B7" s="40">
        <v>0</v>
      </c>
      <c r="C7" s="90">
        <v>24.17</v>
      </c>
      <c r="D7" s="86">
        <v>2.68</v>
      </c>
      <c r="E7" s="86">
        <v>59.11</v>
      </c>
      <c r="F7" s="86">
        <v>0.98</v>
      </c>
      <c r="G7" s="86">
        <v>0.24</v>
      </c>
      <c r="H7" s="86">
        <v>1.48</v>
      </c>
      <c r="I7" s="86">
        <v>0.15</v>
      </c>
      <c r="J7" s="86">
        <v>0.59</v>
      </c>
      <c r="K7" s="91">
        <v>0.05</v>
      </c>
      <c r="L7" s="87">
        <f t="shared" si="2"/>
        <v>0.39116361870852895</v>
      </c>
      <c r="M7" s="88">
        <f t="shared" si="3"/>
        <v>4.5339198105227546E-2</v>
      </c>
    </row>
    <row r="8" spans="1:14" ht="21.75" customHeight="1" x14ac:dyDescent="0.3">
      <c r="A8" s="48"/>
      <c r="B8" s="40">
        <v>0</v>
      </c>
      <c r="C8" s="90">
        <v>24.38</v>
      </c>
      <c r="D8" s="86">
        <v>1.74</v>
      </c>
      <c r="E8" s="86">
        <v>59.7</v>
      </c>
      <c r="F8" s="86">
        <v>1.1499999999999999</v>
      </c>
      <c r="G8" s="86">
        <v>0.24</v>
      </c>
      <c r="H8" s="86">
        <v>1.47</v>
      </c>
      <c r="I8" s="86">
        <v>0.16</v>
      </c>
      <c r="J8" s="86">
        <v>0.6</v>
      </c>
      <c r="K8" s="91">
        <v>0.04</v>
      </c>
      <c r="L8" s="87">
        <f t="shared" si="2"/>
        <v>0.39680989583333326</v>
      </c>
      <c r="M8" s="88">
        <f t="shared" si="3"/>
        <v>2.914572864321608E-2</v>
      </c>
    </row>
    <row r="9" spans="1:14" ht="21.75" customHeight="1" x14ac:dyDescent="0.3">
      <c r="A9" s="48"/>
      <c r="B9" s="40">
        <v>0</v>
      </c>
      <c r="C9" s="90">
        <v>24.15</v>
      </c>
      <c r="D9" s="86">
        <v>1.87</v>
      </c>
      <c r="E9" s="86">
        <v>59.86</v>
      </c>
      <c r="F9" s="86">
        <v>0.74</v>
      </c>
      <c r="G9" s="86">
        <v>0.2</v>
      </c>
      <c r="H9" s="86">
        <v>1.79</v>
      </c>
      <c r="I9" s="86">
        <v>0.19</v>
      </c>
      <c r="J9" s="86">
        <v>0.77</v>
      </c>
      <c r="K9" s="91">
        <v>0.04</v>
      </c>
      <c r="L9" s="87">
        <f t="shared" si="2"/>
        <v>0.39121982828446461</v>
      </c>
      <c r="M9" s="88">
        <f t="shared" si="3"/>
        <v>3.1239558970932176E-2</v>
      </c>
    </row>
    <row r="10" spans="1:14" ht="21.75" customHeight="1" x14ac:dyDescent="0.3">
      <c r="A10" s="48"/>
      <c r="B10" s="40">
        <v>0</v>
      </c>
      <c r="C10" s="90">
        <v>22.59</v>
      </c>
      <c r="D10" s="86">
        <v>1.21</v>
      </c>
      <c r="E10" s="59">
        <v>61.85</v>
      </c>
      <c r="F10" s="86">
        <v>0.93</v>
      </c>
      <c r="G10" s="86">
        <v>0.19</v>
      </c>
      <c r="H10" s="59">
        <v>1.59</v>
      </c>
      <c r="I10" s="59">
        <v>0.12</v>
      </c>
      <c r="J10" s="86">
        <v>0.64</v>
      </c>
      <c r="K10" s="91">
        <v>0.04</v>
      </c>
      <c r="L10" s="87">
        <f t="shared" si="0"/>
        <v>0.35823025689819216</v>
      </c>
      <c r="M10" s="88">
        <f t="shared" si="1"/>
        <v>1.9563459983831851E-2</v>
      </c>
      <c r="N10" s="89"/>
    </row>
    <row r="11" spans="1:14" ht="21.75" customHeight="1" x14ac:dyDescent="0.3">
      <c r="A11" s="48"/>
      <c r="B11" s="40">
        <v>0</v>
      </c>
      <c r="C11" s="90">
        <v>18.87</v>
      </c>
      <c r="D11" s="86">
        <v>1.19</v>
      </c>
      <c r="E11" s="86">
        <v>61.22</v>
      </c>
      <c r="F11" s="86">
        <v>5.37</v>
      </c>
      <c r="G11" s="86">
        <v>0.19</v>
      </c>
      <c r="H11" s="86">
        <v>1.2</v>
      </c>
      <c r="I11" s="59">
        <v>0.04</v>
      </c>
      <c r="J11" s="86">
        <v>0.51</v>
      </c>
      <c r="K11" s="91">
        <v>0.04</v>
      </c>
      <c r="L11" s="87">
        <f>C11/(D11+E11)</f>
        <v>0.30235539176414039</v>
      </c>
      <c r="M11" s="88">
        <f t="shared" si="1"/>
        <v>1.943809212675596E-2</v>
      </c>
    </row>
    <row r="12" spans="1:14" ht="21.75" customHeight="1" thickBot="1" x14ac:dyDescent="0.35">
      <c r="A12" s="92"/>
      <c r="B12" s="81">
        <v>0</v>
      </c>
      <c r="C12" s="93">
        <v>23.57</v>
      </c>
      <c r="D12" s="94">
        <v>0.74</v>
      </c>
      <c r="E12" s="94">
        <v>63.12</v>
      </c>
      <c r="F12" s="94">
        <v>0.75</v>
      </c>
      <c r="G12" s="94">
        <v>0.09</v>
      </c>
      <c r="H12" s="63">
        <v>1.58</v>
      </c>
      <c r="I12" s="63">
        <v>0.14000000000000001</v>
      </c>
      <c r="J12" s="94">
        <v>0.69</v>
      </c>
      <c r="K12" s="95">
        <v>0.03</v>
      </c>
      <c r="L12" s="96">
        <f>C12/(D12+E12)</f>
        <v>0.36908863138114628</v>
      </c>
      <c r="M12" s="97">
        <f t="shared" si="1"/>
        <v>1.1723700887198986E-2</v>
      </c>
    </row>
    <row r="13" spans="1:14" ht="24" customHeight="1" thickBot="1" x14ac:dyDescent="0.35">
      <c r="A13" s="98" t="s">
        <v>17</v>
      </c>
      <c r="B13" s="99"/>
      <c r="C13" s="100">
        <f>AVERAGE(C3:C12)</f>
        <v>23.642000000000003</v>
      </c>
      <c r="D13" s="100">
        <f t="shared" ref="D13:M13" si="4">AVERAGE(D3:D12)</f>
        <v>1.4319999999999999</v>
      </c>
      <c r="E13" s="100">
        <f t="shared" si="4"/>
        <v>60.096000000000004</v>
      </c>
      <c r="F13" s="100">
        <f t="shared" si="4"/>
        <v>1.3440000000000001</v>
      </c>
      <c r="G13" s="100">
        <f t="shared" si="4"/>
        <v>0.21099999999999999</v>
      </c>
      <c r="H13" s="100">
        <f t="shared" si="4"/>
        <v>1.4770000000000001</v>
      </c>
      <c r="I13" s="100">
        <f t="shared" si="4"/>
        <v>0.13700000000000001</v>
      </c>
      <c r="J13" s="100">
        <f t="shared" si="4"/>
        <v>0.61899999999999999</v>
      </c>
      <c r="K13" s="100">
        <f t="shared" si="4"/>
        <v>3.5999999999999997E-2</v>
      </c>
      <c r="L13" s="100">
        <f t="shared" si="4"/>
        <v>0.38637444216458067</v>
      </c>
      <c r="M13" s="101">
        <f t="shared" si="4"/>
        <v>2.4004269055917248E-2</v>
      </c>
    </row>
  </sheetData>
  <mergeCells count="4">
    <mergeCell ref="A1:A2"/>
    <mergeCell ref="C1:K1"/>
    <mergeCell ref="L1:M1"/>
    <mergeCell ref="B1:B2"/>
  </mergeCells>
  <printOptions horizontalCentered="1" verticalCentered="1"/>
  <pageMargins left="0" right="0" top="0" bottom="0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Clay</vt:lpstr>
      <vt:lpstr>Kaoline</vt:lpstr>
      <vt:lpstr>Sand WF</vt:lpstr>
      <vt:lpstr>I.Ore</vt:lpstr>
      <vt:lpstr>Clay!Print_Area</vt:lpstr>
      <vt:lpstr>I.Ore!Print_Area</vt:lpstr>
      <vt:lpstr>Kaoline!Print_Area</vt:lpstr>
      <vt:lpstr>'Sand WF'!Print_Area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2026-04-17T20:27:28Z</dcterms:modified>
</cp:coreProperties>
</file>