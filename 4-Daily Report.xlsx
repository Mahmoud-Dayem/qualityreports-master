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assimcement-my.sharepoint.com/personal/mahmoud_gaweesh_qcc_com_sa/Documents/Desktop/عبد الدايم/"/>
    </mc:Choice>
  </mc:AlternateContent>
  <xr:revisionPtr revIDLastSave="13" documentId="11_773E778E51AAE94FF280895170AFAA09AE3933B9" xr6:coauthVersionLast="47" xr6:coauthVersionMax="47" xr10:uidLastSave="{F1075998-E5F5-4D67-96E1-783A1B9B5DFC}"/>
  <bookViews>
    <workbookView xWindow="-120" yWindow="-120" windowWidth="20730" windowHeight="11160" activeTab="3" xr2:uid="{00000000-000D-0000-FFFF-FFFF00000000}"/>
  </bookViews>
  <sheets>
    <sheet name="Raw Mill" sheetId="2" r:id="rId1"/>
    <sheet name="Kiln Feed" sheetId="6" r:id="rId2"/>
    <sheet name="Clinker" sheetId="3" r:id="rId3"/>
    <sheet name="Cement Mill 1" sheetId="16" r:id="rId4"/>
  </sheets>
  <definedNames>
    <definedName name="_xlnm.Print_Area" localSheetId="3">'Cement Mill 1'!$A$1:$S$31</definedName>
    <definedName name="_xlnm.Print_Area" localSheetId="2">Clinker!$A$1:$X$31</definedName>
    <definedName name="_xlnm.Print_Area" localSheetId="1">'Kiln Feed'!$A$1:$R$30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B18" i="2" l="1"/>
  <c r="B17" i="2"/>
  <c r="Q15" i="2"/>
  <c r="P15" i="2"/>
  <c r="O15" i="2"/>
  <c r="B16" i="2"/>
  <c r="V11" i="6"/>
  <c r="B15" i="2"/>
  <c r="B14" i="2"/>
  <c r="B13" i="2"/>
  <c r="B12" i="2"/>
  <c r="B5" i="16" l="1"/>
  <c r="B5" i="2" l="1"/>
  <c r="B6" i="2"/>
  <c r="B7" i="2"/>
  <c r="B8" i="2"/>
  <c r="B9" i="2"/>
  <c r="B10" i="2"/>
  <c r="B11" i="2"/>
  <c r="B20" i="2"/>
  <c r="B21" i="2"/>
  <c r="B22" i="2"/>
  <c r="B23" i="2"/>
  <c r="B24" i="2"/>
  <c r="B25" i="2"/>
  <c r="B26" i="2"/>
  <c r="B27" i="2"/>
  <c r="B4" i="2"/>
  <c r="A5" i="16" l="1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4" i="16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4" i="3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3" i="6"/>
  <c r="Z7" i="3" l="1"/>
  <c r="Z9" i="3"/>
  <c r="Z11" i="3"/>
  <c r="Z13" i="3"/>
  <c r="Z15" i="3"/>
  <c r="Z17" i="3"/>
  <c r="Z19" i="3"/>
  <c r="Z21" i="3"/>
  <c r="Z23" i="3"/>
  <c r="Z25" i="3"/>
  <c r="Z27" i="3"/>
  <c r="U4" i="3"/>
  <c r="T4" i="3"/>
  <c r="V4" i="3" s="1"/>
  <c r="S4" i="3"/>
  <c r="R4" i="3"/>
  <c r="Q4" i="3"/>
  <c r="P4" i="3"/>
  <c r="O4" i="3"/>
  <c r="Z5" i="3"/>
  <c r="Z28" i="3" l="1"/>
  <c r="O4" i="2" l="1"/>
  <c r="O14" i="2"/>
  <c r="O19" i="2"/>
  <c r="O22" i="2"/>
  <c r="O27" i="2"/>
  <c r="R6" i="3" l="1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5" i="3"/>
  <c r="V21" i="6" l="1"/>
  <c r="O5" i="2" l="1"/>
  <c r="P5" i="2"/>
  <c r="Q5" i="2"/>
  <c r="O6" i="2"/>
  <c r="P6" i="2"/>
  <c r="Q6" i="2"/>
  <c r="O7" i="2"/>
  <c r="P7" i="2"/>
  <c r="Q7" i="2"/>
  <c r="O8" i="2"/>
  <c r="P8" i="2"/>
  <c r="Q8" i="2"/>
  <c r="O9" i="2"/>
  <c r="P9" i="2"/>
  <c r="Q9" i="2"/>
  <c r="O10" i="2"/>
  <c r="P10" i="2"/>
  <c r="Q10" i="2"/>
  <c r="O11" i="2"/>
  <c r="P11" i="2"/>
  <c r="Q11" i="2"/>
  <c r="O12" i="2"/>
  <c r="P12" i="2"/>
  <c r="Q12" i="2"/>
  <c r="O13" i="2"/>
  <c r="P13" i="2"/>
  <c r="Q13" i="2"/>
  <c r="P14" i="2"/>
  <c r="Q14" i="2"/>
  <c r="O16" i="2"/>
  <c r="P16" i="2"/>
  <c r="Q16" i="2"/>
  <c r="O17" i="2"/>
  <c r="P17" i="2"/>
  <c r="Q17" i="2"/>
  <c r="O18" i="2"/>
  <c r="P18" i="2"/>
  <c r="Q18" i="2"/>
  <c r="P19" i="2"/>
  <c r="Q19" i="2"/>
  <c r="O20" i="2"/>
  <c r="P20" i="2"/>
  <c r="Q20" i="2"/>
  <c r="O21" i="2"/>
  <c r="P21" i="2"/>
  <c r="Q21" i="2"/>
  <c r="P22" i="2"/>
  <c r="Q22" i="2"/>
  <c r="O23" i="2"/>
  <c r="P23" i="2"/>
  <c r="Q23" i="2"/>
  <c r="O24" i="2"/>
  <c r="P24" i="2"/>
  <c r="Q24" i="2"/>
  <c r="O25" i="2"/>
  <c r="P25" i="2"/>
  <c r="Q25" i="2"/>
  <c r="O26" i="2"/>
  <c r="P26" i="2"/>
  <c r="Q26" i="2"/>
  <c r="P27" i="2"/>
  <c r="Q27" i="2"/>
  <c r="V5" i="6" l="1"/>
  <c r="M3" i="6" l="1"/>
  <c r="L3" i="6"/>
  <c r="K3" i="6"/>
  <c r="Q4" i="2"/>
  <c r="P4" i="2"/>
  <c r="V6" i="3" l="1"/>
  <c r="V8" i="3"/>
  <c r="V10" i="3"/>
  <c r="V12" i="3"/>
  <c r="V14" i="3"/>
  <c r="V16" i="3"/>
  <c r="V18" i="3"/>
  <c r="V20" i="3"/>
  <c r="V22" i="3"/>
  <c r="V24" i="3"/>
  <c r="V26" i="3"/>
  <c r="N27" i="3" l="1"/>
  <c r="M27" i="3"/>
  <c r="N26" i="3"/>
  <c r="N25" i="3"/>
  <c r="M25" i="3"/>
  <c r="N24" i="3"/>
  <c r="N23" i="3"/>
  <c r="M23" i="3"/>
  <c r="N22" i="3"/>
  <c r="N21" i="3"/>
  <c r="M21" i="3"/>
  <c r="N20" i="3"/>
  <c r="N19" i="3"/>
  <c r="M19" i="3"/>
  <c r="N18" i="3"/>
  <c r="N17" i="3"/>
  <c r="M17" i="3"/>
  <c r="N16" i="3"/>
  <c r="N15" i="3"/>
  <c r="M15" i="3"/>
  <c r="N14" i="3"/>
  <c r="N13" i="3"/>
  <c r="M13" i="3"/>
  <c r="N12" i="3"/>
  <c r="N11" i="3"/>
  <c r="M11" i="3"/>
  <c r="N10" i="3"/>
  <c r="N9" i="3"/>
  <c r="M9" i="3"/>
  <c r="N7" i="3"/>
  <c r="M7" i="3"/>
  <c r="N6" i="3"/>
  <c r="N5" i="3"/>
  <c r="M5" i="3"/>
  <c r="N31" i="3" l="1"/>
  <c r="M30" i="3"/>
  <c r="N29" i="3"/>
  <c r="N28" i="3"/>
  <c r="M31" i="3"/>
  <c r="M28" i="3"/>
  <c r="M29" i="3"/>
  <c r="N30" i="3"/>
  <c r="U30" i="6" l="1"/>
  <c r="T30" i="6"/>
  <c r="U29" i="6"/>
  <c r="T29" i="6"/>
  <c r="U28" i="6"/>
  <c r="T28" i="6"/>
  <c r="U27" i="6"/>
  <c r="T27" i="6"/>
  <c r="V27" i="6" l="1"/>
  <c r="V30" i="6"/>
  <c r="V28" i="6"/>
  <c r="V29" i="6"/>
  <c r="O5" i="3"/>
  <c r="P5" i="3"/>
  <c r="Q5" i="3"/>
  <c r="S5" i="3"/>
  <c r="T5" i="3"/>
  <c r="U5" i="3"/>
  <c r="O7" i="3"/>
  <c r="P7" i="3"/>
  <c r="Q7" i="3"/>
  <c r="S7" i="3"/>
  <c r="T7" i="3"/>
  <c r="U7" i="3"/>
  <c r="O9" i="3"/>
  <c r="P9" i="3"/>
  <c r="Q9" i="3"/>
  <c r="S9" i="3"/>
  <c r="T9" i="3"/>
  <c r="U9" i="3"/>
  <c r="O11" i="3"/>
  <c r="P11" i="3"/>
  <c r="Q11" i="3"/>
  <c r="S11" i="3"/>
  <c r="T11" i="3"/>
  <c r="U11" i="3"/>
  <c r="O13" i="3"/>
  <c r="P13" i="3"/>
  <c r="Q13" i="3"/>
  <c r="S13" i="3"/>
  <c r="T13" i="3"/>
  <c r="U13" i="3"/>
  <c r="O15" i="3"/>
  <c r="P15" i="3"/>
  <c r="Q15" i="3"/>
  <c r="S15" i="3"/>
  <c r="T15" i="3"/>
  <c r="U15" i="3"/>
  <c r="O17" i="3"/>
  <c r="P17" i="3"/>
  <c r="Q17" i="3"/>
  <c r="S17" i="3"/>
  <c r="T17" i="3"/>
  <c r="U17" i="3"/>
  <c r="O19" i="3"/>
  <c r="P19" i="3"/>
  <c r="Q19" i="3"/>
  <c r="S19" i="3"/>
  <c r="T19" i="3"/>
  <c r="U19" i="3"/>
  <c r="O21" i="3"/>
  <c r="P21" i="3"/>
  <c r="Q21" i="3"/>
  <c r="S21" i="3"/>
  <c r="T21" i="3"/>
  <c r="U21" i="3"/>
  <c r="O23" i="3"/>
  <c r="P23" i="3"/>
  <c r="Q23" i="3"/>
  <c r="S23" i="3"/>
  <c r="T23" i="3"/>
  <c r="U23" i="3"/>
  <c r="O25" i="3"/>
  <c r="P25" i="3"/>
  <c r="Q25" i="3"/>
  <c r="S25" i="3"/>
  <c r="T25" i="3"/>
  <c r="U25" i="3"/>
  <c r="O27" i="3"/>
  <c r="P27" i="3"/>
  <c r="Q27" i="3"/>
  <c r="S27" i="3"/>
  <c r="T27" i="3"/>
  <c r="U27" i="3"/>
  <c r="V19" i="3" l="1"/>
  <c r="V25" i="3"/>
  <c r="V23" i="3"/>
  <c r="V13" i="3"/>
  <c r="V27" i="3"/>
  <c r="V21" i="3"/>
  <c r="V17" i="3"/>
  <c r="V15" i="3"/>
  <c r="V11" i="3"/>
  <c r="V9" i="3"/>
  <c r="V7" i="3"/>
  <c r="V5" i="3"/>
  <c r="M11" i="6"/>
  <c r="L11" i="6"/>
  <c r="K11" i="6"/>
  <c r="M9" i="6"/>
  <c r="L9" i="6"/>
  <c r="K9" i="6"/>
  <c r="M7" i="6"/>
  <c r="L7" i="6"/>
  <c r="K7" i="6"/>
  <c r="M5" i="6"/>
  <c r="L5" i="6"/>
  <c r="K5" i="6"/>
  <c r="V31" i="3" l="1"/>
  <c r="V29" i="3"/>
  <c r="V30" i="3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R31" i="16" l="1"/>
  <c r="R30" i="16"/>
  <c r="R29" i="16"/>
  <c r="R28" i="16"/>
  <c r="C28" i="16"/>
  <c r="D28" i="16"/>
  <c r="E28" i="16"/>
  <c r="F28" i="16"/>
  <c r="G28" i="16"/>
  <c r="H28" i="16"/>
  <c r="I28" i="16"/>
  <c r="J28" i="16"/>
  <c r="K28" i="16"/>
  <c r="L28" i="16"/>
  <c r="C29" i="16"/>
  <c r="D29" i="16"/>
  <c r="E29" i="16"/>
  <c r="F29" i="16"/>
  <c r="G29" i="16"/>
  <c r="H29" i="16"/>
  <c r="I29" i="16"/>
  <c r="J29" i="16"/>
  <c r="K29" i="16"/>
  <c r="L29" i="16"/>
  <c r="C30" i="16"/>
  <c r="D30" i="16"/>
  <c r="E30" i="16"/>
  <c r="F30" i="16"/>
  <c r="G30" i="16"/>
  <c r="H30" i="16"/>
  <c r="I30" i="16"/>
  <c r="J30" i="16"/>
  <c r="K30" i="16"/>
  <c r="L30" i="16"/>
  <c r="C31" i="16"/>
  <c r="D31" i="16"/>
  <c r="E31" i="16"/>
  <c r="F31" i="16"/>
  <c r="G31" i="16"/>
  <c r="H31" i="16"/>
  <c r="I31" i="16"/>
  <c r="J31" i="16"/>
  <c r="K31" i="16"/>
  <c r="L31" i="16"/>
  <c r="Z31" i="3" l="1"/>
  <c r="Z29" i="3" l="1"/>
  <c r="Z30" i="3"/>
  <c r="B31" i="16" l="1"/>
  <c r="B30" i="16"/>
  <c r="B29" i="16"/>
  <c r="B28" i="16"/>
  <c r="C29" i="3" l="1"/>
  <c r="D29" i="3"/>
  <c r="E29" i="3"/>
  <c r="F29" i="3"/>
  <c r="G29" i="3"/>
  <c r="H29" i="3"/>
  <c r="I29" i="3"/>
  <c r="J29" i="3"/>
  <c r="K29" i="3"/>
  <c r="L29" i="3"/>
  <c r="C30" i="3"/>
  <c r="D30" i="3"/>
  <c r="E30" i="3"/>
  <c r="F30" i="3"/>
  <c r="G30" i="3"/>
  <c r="H30" i="3"/>
  <c r="I30" i="3"/>
  <c r="J30" i="3"/>
  <c r="K30" i="3"/>
  <c r="L30" i="3"/>
  <c r="C31" i="3"/>
  <c r="D31" i="3"/>
  <c r="E31" i="3"/>
  <c r="F31" i="3"/>
  <c r="G31" i="3"/>
  <c r="H31" i="3"/>
  <c r="I31" i="3"/>
  <c r="J31" i="3"/>
  <c r="K31" i="3"/>
  <c r="L31" i="3"/>
  <c r="B31" i="3"/>
  <c r="B30" i="3"/>
  <c r="B29" i="3"/>
  <c r="C28" i="6"/>
  <c r="D28" i="6"/>
  <c r="E28" i="6"/>
  <c r="F28" i="6"/>
  <c r="G28" i="6"/>
  <c r="H28" i="6"/>
  <c r="I28" i="6"/>
  <c r="J28" i="6"/>
  <c r="N28" i="6"/>
  <c r="Q28" i="6"/>
  <c r="R28" i="6"/>
  <c r="C29" i="6"/>
  <c r="D29" i="6"/>
  <c r="E29" i="6"/>
  <c r="F29" i="6"/>
  <c r="G29" i="6"/>
  <c r="H29" i="6"/>
  <c r="I29" i="6"/>
  <c r="J29" i="6"/>
  <c r="N29" i="6"/>
  <c r="Q29" i="6"/>
  <c r="R29" i="6"/>
  <c r="C30" i="6"/>
  <c r="D30" i="6"/>
  <c r="E30" i="6"/>
  <c r="F30" i="6"/>
  <c r="G30" i="6"/>
  <c r="H30" i="6"/>
  <c r="I30" i="6"/>
  <c r="J30" i="6"/>
  <c r="N30" i="6"/>
  <c r="Q30" i="6"/>
  <c r="R30" i="6"/>
  <c r="B30" i="6"/>
  <c r="B29" i="6"/>
  <c r="B28" i="6"/>
  <c r="C29" i="2"/>
  <c r="D29" i="2"/>
  <c r="E29" i="2"/>
  <c r="F29" i="2"/>
  <c r="G29" i="2"/>
  <c r="H29" i="2"/>
  <c r="I29" i="2"/>
  <c r="J29" i="2"/>
  <c r="K29" i="2"/>
  <c r="L29" i="2"/>
  <c r="M29" i="2"/>
  <c r="N29" i="2"/>
  <c r="R29" i="2"/>
  <c r="C30" i="2"/>
  <c r="D30" i="2"/>
  <c r="E30" i="2"/>
  <c r="F30" i="2"/>
  <c r="G30" i="2"/>
  <c r="H30" i="2"/>
  <c r="I30" i="2"/>
  <c r="J30" i="2"/>
  <c r="K30" i="2"/>
  <c r="L30" i="2"/>
  <c r="M30" i="2"/>
  <c r="N30" i="2"/>
  <c r="R30" i="2"/>
  <c r="C31" i="2"/>
  <c r="D31" i="2"/>
  <c r="E31" i="2"/>
  <c r="F31" i="2"/>
  <c r="G31" i="2"/>
  <c r="H31" i="2"/>
  <c r="I31" i="2"/>
  <c r="J31" i="2"/>
  <c r="K31" i="2"/>
  <c r="L31" i="2"/>
  <c r="M31" i="2"/>
  <c r="N31" i="2"/>
  <c r="R31" i="2"/>
  <c r="R27" i="6" l="1"/>
  <c r="Q27" i="6"/>
  <c r="N27" i="6"/>
  <c r="J27" i="6"/>
  <c r="I27" i="6"/>
  <c r="H27" i="6"/>
  <c r="G27" i="6"/>
  <c r="F27" i="6"/>
  <c r="E27" i="6"/>
  <c r="D27" i="6"/>
  <c r="C27" i="6"/>
  <c r="B27" i="6"/>
  <c r="R28" i="2"/>
  <c r="N28" i="2"/>
  <c r="M28" i="2"/>
  <c r="L28" i="2"/>
  <c r="K28" i="2"/>
  <c r="J28" i="2"/>
  <c r="I28" i="2"/>
  <c r="H28" i="2"/>
  <c r="G28" i="2"/>
  <c r="F28" i="2"/>
  <c r="E28" i="2"/>
  <c r="D28" i="2"/>
  <c r="C28" i="2"/>
  <c r="B31" i="2" l="1"/>
  <c r="B30" i="2"/>
  <c r="B29" i="2"/>
  <c r="Q28" i="2"/>
  <c r="M27" i="6"/>
  <c r="L27" i="6"/>
  <c r="K27" i="6"/>
  <c r="P28" i="2"/>
  <c r="B28" i="2"/>
  <c r="O28" i="2"/>
  <c r="M25" i="6" l="1"/>
  <c r="L25" i="6"/>
  <c r="K25" i="6"/>
  <c r="M23" i="6"/>
  <c r="L23" i="6"/>
  <c r="K23" i="6"/>
  <c r="M21" i="6"/>
  <c r="L21" i="6"/>
  <c r="K21" i="6"/>
  <c r="M19" i="6"/>
  <c r="L19" i="6"/>
  <c r="K19" i="6"/>
  <c r="M17" i="6"/>
  <c r="L17" i="6"/>
  <c r="K17" i="6"/>
  <c r="M15" i="6"/>
  <c r="L15" i="6"/>
  <c r="K15" i="6"/>
  <c r="M13" i="6"/>
  <c r="L13" i="6"/>
  <c r="K13" i="6"/>
  <c r="M30" i="6" l="1"/>
  <c r="M28" i="6"/>
  <c r="M29" i="6"/>
  <c r="K30" i="6"/>
  <c r="K29" i="6"/>
  <c r="K28" i="6"/>
  <c r="L30" i="6"/>
  <c r="L29" i="6"/>
  <c r="L28" i="6"/>
  <c r="Q31" i="2"/>
  <c r="Q30" i="2"/>
  <c r="Q29" i="2"/>
  <c r="P31" i="2"/>
  <c r="P29" i="2"/>
  <c r="P30" i="2"/>
  <c r="O30" i="2"/>
  <c r="O31" i="2"/>
  <c r="O29" i="2"/>
  <c r="U31" i="3" l="1"/>
  <c r="U29" i="3"/>
  <c r="U30" i="3"/>
  <c r="T30" i="3"/>
  <c r="T29" i="3"/>
  <c r="T31" i="3"/>
  <c r="R30" i="3"/>
  <c r="R31" i="3"/>
  <c r="R29" i="3"/>
  <c r="P30" i="3"/>
  <c r="P31" i="3"/>
  <c r="P29" i="3"/>
  <c r="S31" i="3"/>
  <c r="S29" i="3"/>
  <c r="S30" i="3"/>
  <c r="Q31" i="3"/>
  <c r="Q30" i="3"/>
  <c r="Q29" i="3"/>
  <c r="O31" i="3"/>
  <c r="O30" i="3"/>
  <c r="O29" i="3"/>
  <c r="C28" i="3" l="1"/>
  <c r="D28" i="3"/>
  <c r="E28" i="3"/>
  <c r="F28" i="3"/>
  <c r="G28" i="3"/>
  <c r="H28" i="3"/>
  <c r="I28" i="3"/>
  <c r="J28" i="3"/>
  <c r="K28" i="3"/>
  <c r="L28" i="3"/>
  <c r="B28" i="3"/>
  <c r="Q28" i="3" l="1"/>
  <c r="P28" i="3"/>
  <c r="R28" i="3"/>
  <c r="O28" i="3"/>
  <c r="U28" i="3"/>
  <c r="T28" i="3"/>
  <c r="S28" i="3" l="1"/>
  <c r="V28" i="3"/>
</calcChain>
</file>

<file path=xl/sharedStrings.xml><?xml version="1.0" encoding="utf-8"?>
<sst xmlns="http://schemas.openxmlformats.org/spreadsheetml/2006/main" count="140" uniqueCount="86">
  <si>
    <t>Time</t>
  </si>
  <si>
    <t>CaO</t>
  </si>
  <si>
    <t>MgO</t>
  </si>
  <si>
    <t>CL</t>
  </si>
  <si>
    <t>LSF</t>
  </si>
  <si>
    <t>SM</t>
  </si>
  <si>
    <t>AM</t>
  </si>
  <si>
    <t xml:space="preserve">Time </t>
  </si>
  <si>
    <t>Remarks</t>
  </si>
  <si>
    <t>Silo #</t>
  </si>
  <si>
    <t>Avg</t>
  </si>
  <si>
    <t>Lst</t>
  </si>
  <si>
    <t>Clay</t>
  </si>
  <si>
    <t>FEED RATE</t>
  </si>
  <si>
    <t>PC 1</t>
  </si>
  <si>
    <t>Silo Extraction</t>
  </si>
  <si>
    <t>MODULIE</t>
  </si>
  <si>
    <t>CHEMICAL ANALYSIS (%)</t>
  </si>
  <si>
    <t>PHASE COMPOSITION (%)</t>
  </si>
  <si>
    <t>Feed Rate (%)</t>
  </si>
  <si>
    <t xml:space="preserve">Clinker </t>
  </si>
  <si>
    <t>F CaO   %</t>
  </si>
  <si>
    <t>Liter Weight (gm/ltr)</t>
  </si>
  <si>
    <t>Clinker Silo #</t>
  </si>
  <si>
    <t>Gyp</t>
  </si>
  <si>
    <t>I.Ore</t>
  </si>
  <si>
    <t>BP Dust</t>
  </si>
  <si>
    <t>Total</t>
  </si>
  <si>
    <t>Residue 90 µ (%)</t>
  </si>
  <si>
    <r>
      <t>SiO</t>
    </r>
    <r>
      <rPr>
        <b/>
        <vertAlign val="subscript"/>
        <sz val="12"/>
        <color theme="1"/>
        <rFont val="Arial"/>
        <family val="2"/>
      </rPr>
      <t>2</t>
    </r>
  </si>
  <si>
    <r>
      <t>Al</t>
    </r>
    <r>
      <rPr>
        <b/>
        <vertAlign val="subscript"/>
        <sz val="12"/>
        <color theme="1"/>
        <rFont val="Arial"/>
        <family val="2"/>
      </rPr>
      <t>2</t>
    </r>
    <r>
      <rPr>
        <b/>
        <sz val="12"/>
        <color theme="1"/>
        <rFont val="Arial"/>
        <family val="2"/>
      </rPr>
      <t>O</t>
    </r>
    <r>
      <rPr>
        <b/>
        <vertAlign val="subscript"/>
        <sz val="12"/>
        <color theme="1"/>
        <rFont val="Arial"/>
        <family val="2"/>
      </rPr>
      <t>3</t>
    </r>
  </si>
  <si>
    <r>
      <t>Fe</t>
    </r>
    <r>
      <rPr>
        <b/>
        <vertAlign val="subscript"/>
        <sz val="12"/>
        <color theme="1"/>
        <rFont val="Arial"/>
        <family val="2"/>
      </rPr>
      <t>2</t>
    </r>
    <r>
      <rPr>
        <b/>
        <sz val="12"/>
        <color theme="1"/>
        <rFont val="Arial"/>
        <family val="2"/>
      </rPr>
      <t>O</t>
    </r>
    <r>
      <rPr>
        <b/>
        <vertAlign val="subscript"/>
        <sz val="12"/>
        <color theme="1"/>
        <rFont val="Arial"/>
        <family val="2"/>
      </rPr>
      <t>3</t>
    </r>
  </si>
  <si>
    <r>
      <t>SO</t>
    </r>
    <r>
      <rPr>
        <b/>
        <vertAlign val="subscript"/>
        <sz val="12"/>
        <color theme="1"/>
        <rFont val="Arial"/>
        <family val="2"/>
      </rPr>
      <t>3</t>
    </r>
  </si>
  <si>
    <r>
      <t>Na</t>
    </r>
    <r>
      <rPr>
        <b/>
        <vertAlign val="subscript"/>
        <sz val="12"/>
        <color theme="1"/>
        <rFont val="Arial"/>
        <family val="2"/>
      </rPr>
      <t>2</t>
    </r>
    <r>
      <rPr>
        <b/>
        <sz val="12"/>
        <color theme="1"/>
        <rFont val="Arial"/>
        <family val="2"/>
      </rPr>
      <t>O</t>
    </r>
  </si>
  <si>
    <r>
      <t>K</t>
    </r>
    <r>
      <rPr>
        <b/>
        <vertAlign val="subscript"/>
        <sz val="12"/>
        <color theme="1"/>
        <rFont val="Arial"/>
        <family val="2"/>
      </rPr>
      <t>2</t>
    </r>
    <r>
      <rPr>
        <b/>
        <sz val="12"/>
        <color theme="1"/>
        <rFont val="Arial"/>
        <family val="2"/>
      </rPr>
      <t>O</t>
    </r>
  </si>
  <si>
    <r>
      <t>C</t>
    </r>
    <r>
      <rPr>
        <b/>
        <vertAlign val="subscript"/>
        <sz val="12"/>
        <color theme="1"/>
        <rFont val="Arial"/>
        <family val="2"/>
      </rPr>
      <t>3</t>
    </r>
    <r>
      <rPr>
        <b/>
        <sz val="12"/>
        <color theme="1"/>
        <rFont val="Arial"/>
        <family val="2"/>
      </rPr>
      <t>S</t>
    </r>
  </si>
  <si>
    <r>
      <t>C</t>
    </r>
    <r>
      <rPr>
        <b/>
        <vertAlign val="subscript"/>
        <sz val="12"/>
        <color theme="1"/>
        <rFont val="Arial"/>
        <family val="2"/>
      </rPr>
      <t>2</t>
    </r>
    <r>
      <rPr>
        <b/>
        <sz val="12"/>
        <color theme="1"/>
        <rFont val="Arial"/>
        <family val="2"/>
      </rPr>
      <t>S</t>
    </r>
  </si>
  <si>
    <r>
      <t>C</t>
    </r>
    <r>
      <rPr>
        <b/>
        <vertAlign val="subscript"/>
        <sz val="12"/>
        <color theme="1"/>
        <rFont val="Arial"/>
        <family val="2"/>
      </rPr>
      <t>3</t>
    </r>
    <r>
      <rPr>
        <b/>
        <sz val="12"/>
        <color theme="1"/>
        <rFont val="Arial"/>
        <family val="2"/>
      </rPr>
      <t>A</t>
    </r>
  </si>
  <si>
    <r>
      <t>C</t>
    </r>
    <r>
      <rPr>
        <b/>
        <vertAlign val="subscript"/>
        <sz val="12"/>
        <color theme="1"/>
        <rFont val="Arial"/>
        <family val="2"/>
      </rPr>
      <t>4</t>
    </r>
    <r>
      <rPr>
        <b/>
        <sz val="12"/>
        <color theme="1"/>
        <rFont val="Arial"/>
        <family val="2"/>
      </rPr>
      <t>AF</t>
    </r>
  </si>
  <si>
    <t>Clinker Feeding Ratio (%)</t>
  </si>
  <si>
    <t>M</t>
  </si>
  <si>
    <t>Z</t>
  </si>
  <si>
    <t>Calci.</t>
  </si>
  <si>
    <t>Min</t>
  </si>
  <si>
    <t>Max</t>
  </si>
  <si>
    <t>SD</t>
  </si>
  <si>
    <r>
      <t>C</t>
    </r>
    <r>
      <rPr>
        <b/>
        <vertAlign val="subscript"/>
        <sz val="12"/>
        <rFont val="Arial"/>
        <family val="2"/>
      </rPr>
      <t>3</t>
    </r>
    <r>
      <rPr>
        <b/>
        <sz val="12"/>
        <rFont val="Arial"/>
        <family val="2"/>
      </rPr>
      <t xml:space="preserve">A        </t>
    </r>
  </si>
  <si>
    <r>
      <t>C</t>
    </r>
    <r>
      <rPr>
        <b/>
        <vertAlign val="subscript"/>
        <sz val="12"/>
        <rFont val="Arial"/>
        <family val="2"/>
      </rPr>
      <t>3</t>
    </r>
    <r>
      <rPr>
        <b/>
        <sz val="12"/>
        <rFont val="Arial"/>
        <family val="2"/>
      </rPr>
      <t xml:space="preserve">S        </t>
    </r>
  </si>
  <si>
    <r>
      <t>C</t>
    </r>
    <r>
      <rPr>
        <b/>
        <vertAlign val="sub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S (Without Free CaO)</t>
    </r>
  </si>
  <si>
    <t>MgO
%</t>
  </si>
  <si>
    <r>
      <t xml:space="preserve">Residue
45 </t>
    </r>
    <r>
      <rPr>
        <b/>
        <sz val="12"/>
        <color theme="1"/>
        <rFont val="Calibri"/>
        <family val="2"/>
      </rPr>
      <t>µ</t>
    </r>
    <r>
      <rPr>
        <b/>
        <sz val="12"/>
        <color theme="1"/>
        <rFont val="Calibri"/>
        <family val="2"/>
        <scheme val="minor"/>
      </rPr>
      <t xml:space="preserve"> %</t>
    </r>
  </si>
  <si>
    <r>
      <t>SO</t>
    </r>
    <r>
      <rPr>
        <b/>
        <vertAlign val="subscript"/>
        <sz val="12"/>
        <rFont val="Arial"/>
        <family val="2"/>
      </rPr>
      <t>3</t>
    </r>
    <r>
      <rPr>
        <b/>
        <sz val="12"/>
        <rFont val="Arial"/>
        <family val="2"/>
      </rPr>
      <t xml:space="preserve">
%</t>
    </r>
  </si>
  <si>
    <t>Cement
silo</t>
  </si>
  <si>
    <r>
      <t xml:space="preserve">Cement
temp </t>
    </r>
    <r>
      <rPr>
        <b/>
        <vertAlign val="superscript"/>
        <sz val="12"/>
        <rFont val="Arial"/>
        <family val="2"/>
      </rPr>
      <t>o</t>
    </r>
    <r>
      <rPr>
        <b/>
        <sz val="12"/>
        <rFont val="Arial"/>
        <family val="2"/>
      </rPr>
      <t>C</t>
    </r>
  </si>
  <si>
    <t>LOI Kiln Feed</t>
  </si>
  <si>
    <t>LOI Hot Meal</t>
  </si>
  <si>
    <t>% of Cal</t>
  </si>
  <si>
    <t xml:space="preserve">Target  </t>
  </si>
  <si>
    <t>12.00 Max</t>
  </si>
  <si>
    <t xml:space="preserve"> </t>
  </si>
  <si>
    <t>11.00 Max</t>
  </si>
  <si>
    <t>120 Max</t>
  </si>
  <si>
    <t>0.35 Max</t>
  </si>
  <si>
    <r>
      <t>Total Alkalies as Na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O</t>
    </r>
  </si>
  <si>
    <t>Liquid</t>
  </si>
  <si>
    <t>1.80 Avg</t>
  </si>
  <si>
    <t>1200 Min</t>
  </si>
  <si>
    <t>4.80 Max</t>
  </si>
  <si>
    <r>
      <t xml:space="preserve">2.35 </t>
    </r>
    <r>
      <rPr>
        <b/>
        <u/>
        <sz val="12"/>
        <color theme="1"/>
        <rFont val="Arial"/>
        <family val="2"/>
      </rPr>
      <t>+</t>
    </r>
    <r>
      <rPr>
        <b/>
        <sz val="12"/>
        <color theme="1"/>
        <rFont val="Arial"/>
        <family val="2"/>
      </rPr>
      <t xml:space="preserve"> 0.05</t>
    </r>
  </si>
  <si>
    <t>2.70 Max</t>
  </si>
  <si>
    <r>
      <t xml:space="preserve">2.30 </t>
    </r>
    <r>
      <rPr>
        <b/>
        <u/>
        <sz val="12"/>
        <color theme="1"/>
        <rFont val="Arial"/>
        <family val="2"/>
      </rPr>
      <t>+</t>
    </r>
    <r>
      <rPr>
        <b/>
        <sz val="12"/>
        <color theme="1"/>
        <rFont val="Arial"/>
        <family val="2"/>
      </rPr>
      <t xml:space="preserve"> 0.05</t>
    </r>
  </si>
  <si>
    <r>
      <t xml:space="preserve">345 </t>
    </r>
    <r>
      <rPr>
        <b/>
        <u/>
        <sz val="12"/>
        <rFont val="Arial"/>
        <family val="2"/>
      </rPr>
      <t>+</t>
    </r>
    <r>
      <rPr>
        <b/>
        <sz val="12"/>
        <rFont val="Arial"/>
        <family val="2"/>
      </rPr>
      <t xml:space="preserve"> 05</t>
    </r>
  </si>
  <si>
    <r>
      <t>Blaine
(m</t>
    </r>
    <r>
      <rPr>
        <b/>
        <vertAlign val="superscript"/>
        <sz val="12"/>
        <rFont val="Arial"/>
        <family val="2"/>
      </rPr>
      <t>2</t>
    </r>
    <r>
      <rPr>
        <b/>
        <sz val="12"/>
        <rFont val="Arial"/>
        <family val="2"/>
      </rPr>
      <t>/kg)</t>
    </r>
  </si>
  <si>
    <r>
      <t xml:space="preserve">2.85 </t>
    </r>
    <r>
      <rPr>
        <b/>
        <u/>
        <sz val="12"/>
        <rFont val="Arial"/>
        <family val="2"/>
      </rPr>
      <t>+</t>
    </r>
    <r>
      <rPr>
        <b/>
        <sz val="12"/>
        <rFont val="Arial"/>
        <family val="2"/>
      </rPr>
      <t xml:space="preserve"> 0.05</t>
    </r>
  </si>
  <si>
    <r>
      <t xml:space="preserve">94.50 </t>
    </r>
    <r>
      <rPr>
        <b/>
        <u/>
        <sz val="12"/>
        <color theme="1"/>
        <rFont val="Arial"/>
        <family val="2"/>
      </rPr>
      <t>+</t>
    </r>
    <r>
      <rPr>
        <b/>
        <sz val="12"/>
        <color theme="1"/>
        <rFont val="Arial"/>
        <family val="2"/>
      </rPr>
      <t xml:space="preserve"> 0.50</t>
    </r>
  </si>
  <si>
    <r>
      <t xml:space="preserve">1.35 </t>
    </r>
    <r>
      <rPr>
        <b/>
        <u/>
        <sz val="12"/>
        <color theme="1"/>
        <rFont val="Arial"/>
        <family val="2"/>
      </rPr>
      <t>+</t>
    </r>
    <r>
      <rPr>
        <b/>
        <sz val="12"/>
        <color theme="1"/>
        <rFont val="Arial"/>
        <family val="2"/>
      </rPr>
      <t xml:space="preserve"> 0.05</t>
    </r>
  </si>
  <si>
    <r>
      <t xml:space="preserve">93.00 </t>
    </r>
    <r>
      <rPr>
        <b/>
        <u/>
        <sz val="12"/>
        <color theme="1"/>
        <rFont val="Arial"/>
        <family val="2"/>
      </rPr>
      <t>+</t>
    </r>
    <r>
      <rPr>
        <b/>
        <sz val="12"/>
        <color theme="1"/>
        <rFont val="Arial"/>
        <family val="2"/>
      </rPr>
      <t xml:space="preserve"> 1.00</t>
    </r>
  </si>
  <si>
    <r>
      <t xml:space="preserve">1.30 </t>
    </r>
    <r>
      <rPr>
        <b/>
        <u/>
        <sz val="12"/>
        <color theme="1"/>
        <rFont val="Arial"/>
        <family val="2"/>
      </rPr>
      <t>+</t>
    </r>
    <r>
      <rPr>
        <b/>
        <sz val="12"/>
        <color theme="1"/>
        <rFont val="Arial"/>
        <family val="2"/>
      </rPr>
      <t xml:space="preserve"> 0.10</t>
    </r>
  </si>
  <si>
    <r>
      <t>7.25</t>
    </r>
    <r>
      <rPr>
        <b/>
        <u/>
        <sz val="12"/>
        <color theme="1"/>
        <rFont val="Arial"/>
        <family val="2"/>
      </rPr>
      <t>+</t>
    </r>
    <r>
      <rPr>
        <b/>
        <sz val="12"/>
        <color theme="1"/>
        <rFont val="Arial"/>
        <family val="2"/>
      </rPr>
      <t xml:space="preserve"> 0.50</t>
    </r>
  </si>
  <si>
    <r>
      <t xml:space="preserve">55.50 </t>
    </r>
    <r>
      <rPr>
        <b/>
        <u/>
        <sz val="12"/>
        <color theme="1"/>
        <rFont val="Arial"/>
        <family val="2"/>
      </rPr>
      <t>+</t>
    </r>
    <r>
      <rPr>
        <b/>
        <sz val="12"/>
        <color theme="1"/>
        <rFont val="Arial"/>
        <family val="2"/>
      </rPr>
      <t xml:space="preserve"> 1.00</t>
    </r>
  </si>
  <si>
    <t>Kaoline</t>
  </si>
  <si>
    <t>UB M</t>
  </si>
  <si>
    <t>Mill stop at 2:00hrs</t>
  </si>
  <si>
    <t>CL Temp 168</t>
  </si>
  <si>
    <t>CL Temp 78</t>
  </si>
  <si>
    <t>Mill start at 23:40hrs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</si>
</sst>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vertAlign val="subscript"/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b/>
      <sz val="12"/>
      <color theme="1"/>
      <name val="Calibri"/>
      <family val="2"/>
    </font>
    <font>
      <b/>
      <vertAlign val="subscript"/>
      <sz val="12"/>
      <name val="Arial"/>
      <family val="2"/>
    </font>
    <font>
      <sz val="14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vertAlign val="subscript"/>
      <sz val="11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2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7">
    <xf numFmtId="0" fontId="0" fillId="0" borderId="0" xfId="0"/>
    <xf numFmtId="9" fontId="12" fillId="2" borderId="1" xfId="0" applyNumberFormat="1" applyFont="1" applyFill="1" applyBorder="1" applyAlignment="1" applyProtection="1">
      <alignment horizontal="center" vertical="center"/>
      <protection locked="0"/>
    </xf>
    <xf numFmtId="9" fontId="12" fillId="2" borderId="35" xfId="0" applyNumberFormat="1" applyFont="1" applyFill="1" applyBorder="1" applyAlignment="1" applyProtection="1">
      <alignment horizontal="center" vertical="center"/>
      <protection locked="0"/>
    </xf>
    <xf numFmtId="2" fontId="12" fillId="2" borderId="1" xfId="0" applyNumberFormat="1" applyFont="1" applyFill="1" applyBorder="1" applyAlignment="1" applyProtection="1">
      <alignment horizontal="center" vertical="center"/>
      <protection locked="0"/>
    </xf>
    <xf numFmtId="2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35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35" xfId="0" applyNumberFormat="1" applyFont="1" applyFill="1" applyBorder="1" applyAlignment="1" applyProtection="1">
      <alignment horizontal="center" vertical="center"/>
      <protection locked="0"/>
    </xf>
    <xf numFmtId="2" fontId="12" fillId="2" borderId="34" xfId="0" applyNumberFormat="1" applyFont="1" applyFill="1" applyBorder="1" applyAlignment="1" applyProtection="1">
      <alignment horizontal="center" vertical="center"/>
      <protection locked="0"/>
    </xf>
    <xf numFmtId="0" fontId="12" fillId="2" borderId="34" xfId="0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35" xfId="0" applyFont="1" applyFill="1" applyBorder="1" applyAlignment="1" applyProtection="1">
      <alignment horizontal="center" vertical="center"/>
      <protection locked="0"/>
    </xf>
    <xf numFmtId="0" fontId="12" fillId="2" borderId="6" xfId="0" applyFont="1" applyFill="1" applyBorder="1" applyAlignment="1" applyProtection="1">
      <alignment horizontal="center" vertical="center"/>
      <protection locked="0"/>
    </xf>
    <xf numFmtId="9" fontId="12" fillId="2" borderId="34" xfId="0" applyNumberFormat="1" applyFont="1" applyFill="1" applyBorder="1" applyAlignment="1" applyProtection="1">
      <alignment horizontal="center" vertical="center"/>
      <protection locked="0"/>
    </xf>
    <xf numFmtId="1" fontId="12" fillId="2" borderId="35" xfId="0" applyNumberFormat="1" applyFont="1" applyFill="1" applyBorder="1" applyAlignment="1" applyProtection="1">
      <alignment horizontal="center" vertical="center"/>
      <protection locked="0"/>
    </xf>
    <xf numFmtId="2" fontId="12" fillId="2" borderId="4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37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37" xfId="0" applyNumberFormat="1" applyFont="1" applyFill="1" applyBorder="1" applyAlignment="1" applyProtection="1">
      <alignment horizontal="center" vertical="center"/>
      <protection locked="0"/>
    </xf>
    <xf numFmtId="2" fontId="12" fillId="2" borderId="36" xfId="0" applyNumberFormat="1" applyFont="1" applyFill="1" applyBorder="1" applyAlignment="1" applyProtection="1">
      <alignment horizontal="center" vertical="center"/>
      <protection locked="0"/>
    </xf>
    <xf numFmtId="0" fontId="12" fillId="2" borderId="37" xfId="0" applyFont="1" applyFill="1" applyBorder="1" applyAlignment="1" applyProtection="1">
      <alignment horizontal="center" vertical="center"/>
      <protection locked="0"/>
    </xf>
    <xf numFmtId="2" fontId="4" fillId="2" borderId="44" xfId="0" applyNumberFormat="1" applyFont="1" applyFill="1" applyBorder="1" applyAlignment="1">
      <alignment horizontal="center" vertical="center"/>
    </xf>
    <xf numFmtId="2" fontId="4" fillId="2" borderId="34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4" fillId="2" borderId="35" xfId="0" applyNumberFormat="1" applyFont="1" applyFill="1" applyBorder="1" applyAlignment="1">
      <alignment horizontal="center" vertical="center"/>
    </xf>
    <xf numFmtId="2" fontId="4" fillId="2" borderId="36" xfId="0" applyNumberFormat="1" applyFont="1" applyFill="1" applyBorder="1" applyAlignment="1">
      <alignment horizontal="center" vertical="center"/>
    </xf>
    <xf numFmtId="2" fontId="4" fillId="2" borderId="4" xfId="0" applyNumberFormat="1" applyFont="1" applyFill="1" applyBorder="1" applyAlignment="1">
      <alignment horizontal="center" vertical="center"/>
    </xf>
    <xf numFmtId="2" fontId="12" fillId="2" borderId="34" xfId="0" applyNumberFormat="1" applyFont="1" applyFill="1" applyBorder="1" applyAlignment="1">
      <alignment horizontal="center" vertical="center"/>
    </xf>
    <xf numFmtId="2" fontId="4" fillId="2" borderId="35" xfId="0" applyNumberFormat="1" applyFont="1" applyFill="1" applyBorder="1" applyAlignment="1">
      <alignment horizontal="center" vertical="center" shrinkToFit="1"/>
    </xf>
    <xf numFmtId="2" fontId="4" fillId="2" borderId="37" xfId="0" applyNumberFormat="1" applyFont="1" applyFill="1" applyBorder="1" applyAlignment="1">
      <alignment horizontal="center" vertical="center" shrinkToFit="1"/>
    </xf>
    <xf numFmtId="1" fontId="12" fillId="2" borderId="34" xfId="0" applyNumberFormat="1" applyFont="1" applyFill="1" applyBorder="1" applyAlignment="1" applyProtection="1">
      <alignment horizontal="center" vertical="center"/>
      <protection locked="0"/>
    </xf>
    <xf numFmtId="1" fontId="12" fillId="2" borderId="34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36" xfId="0" quotePrefix="1" applyNumberFormat="1" applyFont="1" applyFill="1" applyBorder="1" applyAlignment="1" applyProtection="1">
      <alignment horizontal="center" vertical="center"/>
      <protection locked="0"/>
    </xf>
    <xf numFmtId="2" fontId="4" fillId="2" borderId="92" xfId="0" applyNumberFormat="1" applyFont="1" applyFill="1" applyBorder="1" applyAlignment="1">
      <alignment horizontal="center" vertical="center"/>
    </xf>
    <xf numFmtId="2" fontId="4" fillId="2" borderId="96" xfId="0" applyNumberFormat="1" applyFont="1" applyFill="1" applyBorder="1" applyAlignment="1">
      <alignment horizontal="center" vertical="center"/>
    </xf>
    <xf numFmtId="2" fontId="4" fillId="2" borderId="98" xfId="0" applyNumberFormat="1" applyFont="1" applyFill="1" applyBorder="1" applyAlignment="1">
      <alignment horizontal="center" vertical="center"/>
    </xf>
    <xf numFmtId="2" fontId="4" fillId="2" borderId="55" xfId="0" applyNumberFormat="1" applyFont="1" applyFill="1" applyBorder="1" applyAlignment="1" applyProtection="1">
      <alignment horizontal="center" vertical="center"/>
      <protection locked="0"/>
    </xf>
    <xf numFmtId="2" fontId="4" fillId="2" borderId="99" xfId="0" applyNumberFormat="1" applyFont="1" applyFill="1" applyBorder="1" applyAlignment="1" applyProtection="1">
      <alignment horizontal="center" vertical="center"/>
      <protection locked="0"/>
    </xf>
    <xf numFmtId="2" fontId="4" fillId="2" borderId="55" xfId="0" applyNumberFormat="1" applyFont="1" applyFill="1" applyBorder="1" applyAlignment="1">
      <alignment horizontal="center" vertical="center"/>
    </xf>
    <xf numFmtId="2" fontId="4" fillId="2" borderId="99" xfId="0" applyNumberFormat="1" applyFont="1" applyFill="1" applyBorder="1" applyAlignment="1">
      <alignment horizontal="center" vertical="center" shrinkToFit="1"/>
    </xf>
    <xf numFmtId="2" fontId="4" fillId="2" borderId="109" xfId="0" applyNumberFormat="1" applyFont="1" applyFill="1" applyBorder="1" applyAlignment="1">
      <alignment horizontal="center" vertical="center"/>
    </xf>
    <xf numFmtId="2" fontId="12" fillId="2" borderId="98" xfId="0" applyNumberFormat="1" applyFont="1" applyFill="1" applyBorder="1" applyAlignment="1">
      <alignment horizontal="center" vertical="center"/>
    </xf>
    <xf numFmtId="0" fontId="12" fillId="2" borderId="99" xfId="0" applyFont="1" applyFill="1" applyBorder="1" applyAlignment="1" applyProtection="1">
      <alignment horizontal="center" vertical="center"/>
      <protection locked="0"/>
    </xf>
    <xf numFmtId="0" fontId="12" fillId="2" borderId="115" xfId="0" applyFont="1" applyFill="1" applyBorder="1" applyAlignment="1" applyProtection="1">
      <alignment vertical="center"/>
      <protection locked="0"/>
    </xf>
    <xf numFmtId="0" fontId="12" fillId="2" borderId="92" xfId="0" applyFont="1" applyFill="1" applyBorder="1" applyAlignment="1" applyProtection="1">
      <alignment vertical="center"/>
      <protection locked="0"/>
    </xf>
    <xf numFmtId="0" fontId="12" fillId="2" borderId="117" xfId="0" applyFont="1" applyFill="1" applyBorder="1" applyAlignment="1" applyProtection="1">
      <alignment vertical="center"/>
      <protection locked="0"/>
    </xf>
    <xf numFmtId="0" fontId="3" fillId="2" borderId="65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 shrinkToFit="1"/>
    </xf>
    <xf numFmtId="0" fontId="3" fillId="2" borderId="9" xfId="0" applyFont="1" applyFill="1" applyBorder="1" applyAlignment="1">
      <alignment horizontal="center" vertical="center" wrapText="1" shrinkToFit="1"/>
    </xf>
    <xf numFmtId="0" fontId="3" fillId="2" borderId="10" xfId="0" applyFont="1" applyFill="1" applyBorder="1" applyAlignment="1">
      <alignment horizontal="center" vertical="center" wrapText="1" shrinkToFit="1"/>
    </xf>
    <xf numFmtId="0" fontId="0" fillId="2" borderId="0" xfId="0" applyFill="1"/>
    <xf numFmtId="0" fontId="3" fillId="2" borderId="64" xfId="0" applyFont="1" applyFill="1" applyBorder="1" applyAlignment="1">
      <alignment vertical="center" wrapText="1"/>
    </xf>
    <xf numFmtId="0" fontId="3" fillId="2" borderId="30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0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wrapText="1" shrinkToFit="1"/>
    </xf>
    <xf numFmtId="0" fontId="3" fillId="2" borderId="11" xfId="0" applyFont="1" applyFill="1" applyBorder="1" applyAlignment="1">
      <alignment horizontal="center" vertical="center" wrapText="1" shrinkToFit="1"/>
    </xf>
    <xf numFmtId="0" fontId="3" fillId="2" borderId="100" xfId="0" applyFont="1" applyFill="1" applyBorder="1" applyAlignment="1">
      <alignment horizontal="right" vertical="center" wrapText="1"/>
    </xf>
    <xf numFmtId="0" fontId="3" fillId="2" borderId="101" xfId="0" applyFont="1" applyFill="1" applyBorder="1" applyAlignment="1">
      <alignment horizontal="center" vertical="center" shrinkToFit="1"/>
    </xf>
    <xf numFmtId="0" fontId="3" fillId="2" borderId="102" xfId="0" applyFont="1" applyFill="1" applyBorder="1" applyAlignment="1">
      <alignment horizontal="center" vertical="center" shrinkToFit="1"/>
    </xf>
    <xf numFmtId="0" fontId="3" fillId="2" borderId="103" xfId="0" applyFont="1" applyFill="1" applyBorder="1" applyAlignment="1">
      <alignment horizontal="center" vertical="center" shrinkToFit="1"/>
    </xf>
    <xf numFmtId="0" fontId="3" fillId="2" borderId="102" xfId="0" applyFont="1" applyFill="1" applyBorder="1" applyAlignment="1">
      <alignment horizontal="center" vertical="center" wrapText="1" shrinkToFit="1"/>
    </xf>
    <xf numFmtId="0" fontId="3" fillId="2" borderId="101" xfId="0" applyFont="1" applyFill="1" applyBorder="1" applyAlignment="1">
      <alignment horizontal="center" vertical="center" wrapText="1" shrinkToFit="1"/>
    </xf>
    <xf numFmtId="0" fontId="3" fillId="2" borderId="103" xfId="0" applyFont="1" applyFill="1" applyBorder="1" applyAlignment="1">
      <alignment horizontal="center" vertical="center" wrapText="1" shrinkToFit="1"/>
    </xf>
    <xf numFmtId="0" fontId="3" fillId="2" borderId="104" xfId="0" applyFont="1" applyFill="1" applyBorder="1" applyAlignment="1">
      <alignment horizontal="center" vertical="center" wrapText="1" shrinkToFit="1"/>
    </xf>
    <xf numFmtId="20" fontId="3" fillId="2" borderId="97" xfId="0" applyNumberFormat="1" applyFont="1" applyFill="1" applyBorder="1" applyAlignment="1">
      <alignment horizontal="center" vertical="center"/>
    </xf>
    <xf numFmtId="2" fontId="4" fillId="2" borderId="98" xfId="0" applyNumberFormat="1" applyFont="1" applyFill="1" applyBorder="1" applyAlignment="1" applyProtection="1">
      <alignment horizontal="center" vertical="center"/>
      <protection locked="0"/>
    </xf>
    <xf numFmtId="0" fontId="4" fillId="2" borderId="55" xfId="0" applyFont="1" applyFill="1" applyBorder="1" applyAlignment="1" applyProtection="1">
      <alignment horizontal="center" vertical="center" wrapText="1"/>
      <protection locked="0"/>
    </xf>
    <xf numFmtId="0" fontId="4" fillId="2" borderId="57" xfId="0" applyFont="1" applyFill="1" applyBorder="1" applyAlignment="1" applyProtection="1">
      <alignment horizontal="center" vertical="center"/>
      <protection locked="0"/>
    </xf>
    <xf numFmtId="2" fontId="4" fillId="2" borderId="1" xfId="0" applyNumberFormat="1" applyFont="1" applyFill="1" applyBorder="1" applyAlignment="1" applyProtection="1">
      <alignment horizontal="center" vertical="center"/>
      <protection locked="0"/>
    </xf>
    <xf numFmtId="2" fontId="4" fillId="2" borderId="1" xfId="0" applyNumberFormat="1" applyFont="1" applyFill="1" applyBorder="1" applyAlignment="1" applyProtection="1">
      <alignment horizontal="center" vertical="center" shrinkToFit="1"/>
      <protection locked="0"/>
    </xf>
    <xf numFmtId="2" fontId="4" fillId="2" borderId="35" xfId="0" applyNumberFormat="1" applyFont="1" applyFill="1" applyBorder="1" applyAlignment="1" applyProtection="1">
      <alignment horizontal="center" vertical="center" shrinkToFit="1"/>
      <protection locked="0"/>
    </xf>
    <xf numFmtId="2" fontId="4" fillId="2" borderId="34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2" fontId="4" fillId="2" borderId="35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11" fillId="2" borderId="72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" fillId="2" borderId="13" xfId="0" applyFont="1" applyFill="1" applyBorder="1" applyAlignment="1" applyProtection="1">
      <alignment horizontal="center" vertical="center" wrapText="1"/>
      <protection locked="0"/>
    </xf>
    <xf numFmtId="20" fontId="3" fillId="2" borderId="122" xfId="0" applyNumberFormat="1" applyFont="1" applyFill="1" applyBorder="1" applyAlignment="1">
      <alignment horizontal="center" vertical="center"/>
    </xf>
    <xf numFmtId="2" fontId="4" fillId="2" borderId="30" xfId="0" applyNumberFormat="1" applyFont="1" applyFill="1" applyBorder="1" applyAlignment="1" applyProtection="1">
      <alignment horizontal="center" vertical="center"/>
      <protection locked="0"/>
    </xf>
    <xf numFmtId="2" fontId="4" fillId="2" borderId="2" xfId="0" applyNumberFormat="1" applyFont="1" applyFill="1" applyBorder="1" applyAlignment="1" applyProtection="1">
      <alignment horizontal="center" vertical="center"/>
      <protection locked="0"/>
    </xf>
    <xf numFmtId="2" fontId="4" fillId="2" borderId="31" xfId="0" applyNumberFormat="1" applyFont="1" applyFill="1" applyBorder="1" applyAlignment="1" applyProtection="1">
      <alignment horizontal="center" vertical="center"/>
      <protection locked="0"/>
    </xf>
    <xf numFmtId="2" fontId="4" fillId="2" borderId="36" xfId="0" applyNumberFormat="1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20" fontId="3" fillId="2" borderId="121" xfId="0" applyNumberFormat="1" applyFont="1" applyFill="1" applyBorder="1" applyAlignment="1">
      <alignment horizontal="center" vertical="center"/>
    </xf>
    <xf numFmtId="2" fontId="3" fillId="2" borderId="53" xfId="0" applyNumberFormat="1" applyFont="1" applyFill="1" applyBorder="1" applyAlignment="1">
      <alignment horizontal="center" vertical="center"/>
    </xf>
    <xf numFmtId="2" fontId="3" fillId="2" borderId="54" xfId="0" applyNumberFormat="1" applyFont="1" applyFill="1" applyBorder="1" applyAlignment="1">
      <alignment horizontal="center" vertical="center"/>
    </xf>
    <xf numFmtId="2" fontId="3" fillId="2" borderId="58" xfId="0" applyNumberFormat="1" applyFont="1" applyFill="1" applyBorder="1" applyAlignment="1">
      <alignment horizontal="center" vertical="center"/>
    </xf>
    <xf numFmtId="2" fontId="3" fillId="2" borderId="58" xfId="0" applyNumberFormat="1" applyFont="1" applyFill="1" applyBorder="1" applyAlignment="1">
      <alignment horizontal="center" vertical="center" shrinkToFit="1"/>
    </xf>
    <xf numFmtId="2" fontId="3" fillId="2" borderId="73" xfId="0" applyNumberFormat="1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20" fontId="3" fillId="2" borderId="65" xfId="0" applyNumberFormat="1" applyFont="1" applyFill="1" applyBorder="1" applyAlignment="1">
      <alignment horizontal="center" vertical="center"/>
    </xf>
    <xf numFmtId="2" fontId="4" fillId="2" borderId="28" xfId="0" applyNumberFormat="1" applyFont="1" applyFill="1" applyBorder="1" applyAlignment="1">
      <alignment horizontal="center" vertical="center"/>
    </xf>
    <xf numFmtId="2" fontId="4" fillId="2" borderId="9" xfId="0" applyNumberFormat="1" applyFont="1" applyFill="1" applyBorder="1" applyAlignment="1">
      <alignment horizontal="center" vertical="center"/>
    </xf>
    <xf numFmtId="2" fontId="4" fillId="2" borderId="29" xfId="0" applyNumberFormat="1" applyFont="1" applyFill="1" applyBorder="1" applyAlignment="1">
      <alignment horizontal="center" vertical="center"/>
    </xf>
    <xf numFmtId="2" fontId="4" fillId="2" borderId="25" xfId="0" applyNumberFormat="1" applyFont="1" applyFill="1" applyBorder="1" applyAlignment="1">
      <alignment horizontal="center" vertical="center"/>
    </xf>
    <xf numFmtId="2" fontId="4" fillId="2" borderId="21" xfId="0" applyNumberFormat="1" applyFont="1" applyFill="1" applyBorder="1" applyAlignment="1">
      <alignment horizontal="center" vertical="center"/>
    </xf>
    <xf numFmtId="0" fontId="13" fillId="2" borderId="9" xfId="0" applyFont="1" applyFill="1" applyBorder="1"/>
    <xf numFmtId="0" fontId="13" fillId="2" borderId="10" xfId="0" applyFont="1" applyFill="1" applyBorder="1"/>
    <xf numFmtId="20" fontId="3" fillId="2" borderId="50" xfId="0" applyNumberFormat="1" applyFont="1" applyFill="1" applyBorder="1" applyAlignment="1">
      <alignment horizontal="center" vertical="center"/>
    </xf>
    <xf numFmtId="2" fontId="4" fillId="2" borderId="6" xfId="0" applyNumberFormat="1" applyFont="1" applyFill="1" applyBorder="1" applyAlignment="1">
      <alignment horizontal="center" vertical="center"/>
    </xf>
    <xf numFmtId="2" fontId="4" fillId="2" borderId="23" xfId="0" applyNumberFormat="1" applyFont="1" applyFill="1" applyBorder="1" applyAlignment="1">
      <alignment horizontal="center" vertical="center"/>
    </xf>
    <xf numFmtId="0" fontId="13" fillId="2" borderId="1" xfId="0" applyFont="1" applyFill="1" applyBorder="1"/>
    <xf numFmtId="0" fontId="13" fillId="2" borderId="13" xfId="0" applyFont="1" applyFill="1" applyBorder="1"/>
    <xf numFmtId="20" fontId="3" fillId="2" borderId="77" xfId="0" applyNumberFormat="1" applyFont="1" applyFill="1" applyBorder="1" applyAlignment="1">
      <alignment horizontal="center" vertical="center"/>
    </xf>
    <xf numFmtId="2" fontId="4" fillId="2" borderId="79" xfId="0" applyNumberFormat="1" applyFont="1" applyFill="1" applyBorder="1" applyAlignment="1">
      <alignment horizontal="center" vertical="center"/>
    </xf>
    <xf numFmtId="2" fontId="4" fillId="2" borderId="75" xfId="0" applyNumberFormat="1" applyFont="1" applyFill="1" applyBorder="1" applyAlignment="1">
      <alignment horizontal="center" vertical="center"/>
    </xf>
    <xf numFmtId="2" fontId="4" fillId="2" borderId="80" xfId="0" applyNumberFormat="1" applyFont="1" applyFill="1" applyBorder="1" applyAlignment="1">
      <alignment horizontal="center" vertical="center"/>
    </xf>
    <xf numFmtId="2" fontId="4" fillId="2" borderId="78" xfId="0" applyNumberFormat="1" applyFont="1" applyFill="1" applyBorder="1" applyAlignment="1">
      <alignment horizontal="center" vertical="center"/>
    </xf>
    <xf numFmtId="2" fontId="4" fillId="2" borderId="81" xfId="0" applyNumberFormat="1" applyFont="1" applyFill="1" applyBorder="1" applyAlignment="1">
      <alignment horizontal="center" vertical="center"/>
    </xf>
    <xf numFmtId="0" fontId="13" fillId="2" borderId="75" xfId="0" applyFont="1" applyFill="1" applyBorder="1"/>
    <xf numFmtId="0" fontId="13" fillId="2" borderId="76" xfId="0" applyFont="1" applyFill="1" applyBorder="1"/>
    <xf numFmtId="0" fontId="3" fillId="2" borderId="68" xfId="0" applyFont="1" applyFill="1" applyBorder="1" applyAlignment="1">
      <alignment horizontal="center" vertical="center" wrapText="1" shrinkToFit="1"/>
    </xf>
    <xf numFmtId="0" fontId="3" fillId="2" borderId="29" xfId="0" applyFont="1" applyFill="1" applyBorder="1" applyAlignment="1">
      <alignment horizontal="center" vertical="center" wrapText="1" shrinkToFit="1"/>
    </xf>
    <xf numFmtId="0" fontId="3" fillId="2" borderId="28" xfId="0" applyFont="1" applyFill="1" applyBorder="1" applyAlignment="1">
      <alignment horizontal="center" vertical="center" wrapText="1" shrinkToFit="1"/>
    </xf>
    <xf numFmtId="0" fontId="3" fillId="2" borderId="10" xfId="0" applyFont="1" applyFill="1" applyBorder="1" applyAlignment="1">
      <alignment horizontal="center" vertical="center" wrapText="1" shrinkToFit="1"/>
    </xf>
    <xf numFmtId="0" fontId="3" fillId="2" borderId="84" xfId="0" applyFont="1" applyFill="1" applyBorder="1" applyAlignment="1">
      <alignment horizontal="center" vertical="center" wrapText="1" shrinkToFit="1"/>
    </xf>
    <xf numFmtId="0" fontId="3" fillId="2" borderId="36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37" xfId="0" applyFont="1" applyFill="1" applyBorder="1" applyAlignment="1">
      <alignment horizontal="center" vertical="center" shrinkToFit="1"/>
    </xf>
    <xf numFmtId="0" fontId="3" fillId="2" borderId="83" xfId="0" applyFont="1" applyFill="1" applyBorder="1" applyAlignment="1">
      <alignment horizontal="center" vertical="center" wrapText="1" shrinkToFit="1"/>
    </xf>
    <xf numFmtId="0" fontId="3" fillId="2" borderId="30" xfId="0" applyFont="1" applyFill="1" applyBorder="1" applyAlignment="1">
      <alignment horizontal="center" vertical="center" wrapText="1" shrinkToFit="1"/>
    </xf>
    <xf numFmtId="0" fontId="3" fillId="2" borderId="31" xfId="0" applyFont="1" applyFill="1" applyBorder="1" applyAlignment="1">
      <alignment horizontal="center" vertical="center" wrapText="1" shrinkToFit="1"/>
    </xf>
    <xf numFmtId="0" fontId="3" fillId="2" borderId="11" xfId="0" applyFont="1" applyFill="1" applyBorder="1" applyAlignment="1">
      <alignment horizontal="center" vertical="center" wrapText="1" shrinkToFit="1"/>
    </xf>
    <xf numFmtId="0" fontId="3" fillId="2" borderId="85" xfId="0" applyFont="1" applyFill="1" applyBorder="1" applyAlignment="1">
      <alignment horizontal="center" vertical="center" wrapText="1" shrinkToFit="1"/>
    </xf>
    <xf numFmtId="20" fontId="3" fillId="2" borderId="123" xfId="0" applyNumberFormat="1" applyFont="1" applyFill="1" applyBorder="1" applyAlignment="1">
      <alignment horizontal="center" vertical="center"/>
    </xf>
    <xf numFmtId="2" fontId="4" fillId="2" borderId="32" xfId="0" applyNumberFormat="1" applyFont="1" applyFill="1" applyBorder="1" applyAlignment="1" applyProtection="1">
      <alignment horizontal="center" vertical="center"/>
      <protection locked="0"/>
    </xf>
    <xf numFmtId="2" fontId="4" fillId="2" borderId="3" xfId="0" applyNumberFormat="1" applyFont="1" applyFill="1" applyBorder="1" applyAlignment="1" applyProtection="1">
      <alignment horizontal="center" vertical="center"/>
      <protection locked="0"/>
    </xf>
    <xf numFmtId="2" fontId="4" fillId="2" borderId="33" xfId="0" applyNumberFormat="1" applyFont="1" applyFill="1" applyBorder="1" applyAlignment="1" applyProtection="1">
      <alignment horizontal="center" vertical="center"/>
      <protection locked="0"/>
    </xf>
    <xf numFmtId="2" fontId="4" fillId="2" borderId="46" xfId="0" applyNumberFormat="1" applyFont="1" applyFill="1" applyBorder="1" applyAlignment="1" applyProtection="1">
      <alignment horizontal="center" vertical="center"/>
      <protection locked="0"/>
    </xf>
    <xf numFmtId="9" fontId="4" fillId="2" borderId="32" xfId="0" quotePrefix="1" applyNumberFormat="1" applyFont="1" applyFill="1" applyBorder="1" applyAlignment="1" applyProtection="1">
      <alignment horizontal="center" vertical="center"/>
      <protection locked="0"/>
    </xf>
    <xf numFmtId="9" fontId="4" fillId="2" borderId="33" xfId="0" quotePrefix="1" applyNumberFormat="1" applyFont="1" applyFill="1" applyBorder="1" applyAlignment="1" applyProtection="1">
      <alignment horizontal="center" vertical="center"/>
      <protection locked="0"/>
    </xf>
    <xf numFmtId="2" fontId="4" fillId="2" borderId="12" xfId="0" applyNumberFormat="1" applyFont="1" applyFill="1" applyBorder="1" applyAlignment="1" applyProtection="1">
      <alignment horizontal="center" vertical="center" wrapText="1"/>
      <protection locked="0"/>
    </xf>
    <xf numFmtId="2" fontId="4" fillId="2" borderId="86" xfId="0" applyNumberFormat="1" applyFont="1" applyFill="1" applyBorder="1" applyAlignment="1" applyProtection="1">
      <alignment horizontal="center" vertical="center"/>
      <protection locked="0"/>
    </xf>
    <xf numFmtId="20" fontId="3" fillId="2" borderId="63" xfId="0" applyNumberFormat="1" applyFont="1" applyFill="1" applyBorder="1" applyAlignment="1">
      <alignment horizontal="center" vertical="center"/>
    </xf>
    <xf numFmtId="2" fontId="4" fillId="2" borderId="47" xfId="0" applyNumberFormat="1" applyFont="1" applyFill="1" applyBorder="1" applyAlignment="1" applyProtection="1">
      <alignment horizontal="center" vertical="center"/>
      <protection locked="0"/>
    </xf>
    <xf numFmtId="9" fontId="4" fillId="2" borderId="34" xfId="0" applyNumberFormat="1" applyFont="1" applyFill="1" applyBorder="1" applyAlignment="1" applyProtection="1">
      <alignment horizontal="center" vertical="center"/>
      <protection locked="0"/>
    </xf>
    <xf numFmtId="9" fontId="4" fillId="2" borderId="35" xfId="0" applyNumberFormat="1" applyFont="1" applyFill="1" applyBorder="1" applyAlignment="1" applyProtection="1">
      <alignment horizontal="center" vertical="center"/>
      <protection locked="0"/>
    </xf>
    <xf numFmtId="2" fontId="4" fillId="2" borderId="13" xfId="0" applyNumberFormat="1" applyFont="1" applyFill="1" applyBorder="1" applyAlignment="1" applyProtection="1">
      <alignment horizontal="center" vertical="center" wrapText="1"/>
      <protection locked="0"/>
    </xf>
    <xf numFmtId="2" fontId="4" fillId="2" borderId="87" xfId="0" applyNumberFormat="1" applyFont="1" applyFill="1" applyBorder="1" applyAlignment="1" applyProtection="1">
      <alignment horizontal="center" vertical="center"/>
      <protection locked="0"/>
    </xf>
    <xf numFmtId="2" fontId="4" fillId="2" borderId="13" xfId="0" applyNumberFormat="1" applyFont="1" applyFill="1" applyBorder="1" applyAlignment="1" applyProtection="1">
      <alignment horizontal="center" vertical="center"/>
      <protection locked="0"/>
    </xf>
    <xf numFmtId="20" fontId="3" fillId="2" borderId="62" xfId="0" applyNumberFormat="1" applyFont="1" applyFill="1" applyBorder="1" applyAlignment="1">
      <alignment horizontal="center" vertical="center"/>
    </xf>
    <xf numFmtId="2" fontId="4" fillId="2" borderId="4" xfId="0" applyNumberFormat="1" applyFont="1" applyFill="1" applyBorder="1" applyAlignment="1" applyProtection="1">
      <alignment horizontal="center" vertical="center"/>
      <protection locked="0"/>
    </xf>
    <xf numFmtId="2" fontId="4" fillId="2" borderId="37" xfId="0" applyNumberFormat="1" applyFont="1" applyFill="1" applyBorder="1" applyAlignment="1" applyProtection="1">
      <alignment horizontal="center" vertical="center"/>
      <protection locked="0"/>
    </xf>
    <xf numFmtId="2" fontId="4" fillId="2" borderId="48" xfId="0" applyNumberFormat="1" applyFont="1" applyFill="1" applyBorder="1" applyAlignment="1" applyProtection="1">
      <alignment horizontal="center" vertical="center"/>
      <protection locked="0"/>
    </xf>
    <xf numFmtId="9" fontId="4" fillId="2" borderId="36" xfId="0" applyNumberFormat="1" applyFont="1" applyFill="1" applyBorder="1" applyAlignment="1" applyProtection="1">
      <alignment horizontal="center" vertical="center"/>
      <protection locked="0"/>
    </xf>
    <xf numFmtId="9" fontId="4" fillId="2" borderId="37" xfId="0" applyNumberFormat="1" applyFont="1" applyFill="1" applyBorder="1" applyAlignment="1" applyProtection="1">
      <alignment horizontal="center" vertical="center"/>
      <protection locked="0"/>
    </xf>
    <xf numFmtId="2" fontId="4" fillId="2" borderId="20" xfId="0" applyNumberFormat="1" applyFont="1" applyFill="1" applyBorder="1" applyAlignment="1" applyProtection="1">
      <alignment horizontal="center" vertical="center"/>
      <protection locked="0"/>
    </xf>
    <xf numFmtId="2" fontId="4" fillId="2" borderId="88" xfId="0" applyNumberFormat="1" applyFont="1" applyFill="1" applyBorder="1" applyAlignment="1" applyProtection="1">
      <alignment horizontal="center" vertical="center"/>
      <protection locked="0"/>
    </xf>
    <xf numFmtId="20" fontId="3" fillId="2" borderId="45" xfId="0" applyNumberFormat="1" applyFont="1" applyFill="1" applyBorder="1" applyAlignment="1">
      <alignment horizontal="center" vertical="center"/>
    </xf>
    <xf numFmtId="2" fontId="3" fillId="2" borderId="61" xfId="0" applyNumberFormat="1" applyFont="1" applyFill="1" applyBorder="1" applyAlignment="1">
      <alignment horizontal="center" vertical="center"/>
    </xf>
    <xf numFmtId="2" fontId="3" fillId="2" borderId="16" xfId="0" applyNumberFormat="1" applyFont="1" applyFill="1" applyBorder="1" applyAlignment="1">
      <alignment horizontal="center" vertical="center"/>
    </xf>
    <xf numFmtId="2" fontId="3" fillId="2" borderId="38" xfId="0" applyNumberFormat="1" applyFont="1" applyFill="1" applyBorder="1" applyAlignment="1">
      <alignment horizontal="center" vertical="center"/>
    </xf>
    <xf numFmtId="2" fontId="3" fillId="2" borderId="39" xfId="0" applyNumberFormat="1" applyFont="1" applyFill="1" applyBorder="1" applyAlignment="1">
      <alignment horizontal="center" vertical="center"/>
    </xf>
    <xf numFmtId="2" fontId="3" fillId="2" borderId="41" xfId="0" applyNumberFormat="1" applyFont="1" applyFill="1" applyBorder="1" applyAlignment="1">
      <alignment horizontal="center" vertical="center" shrinkToFit="1"/>
    </xf>
    <xf numFmtId="2" fontId="3" fillId="2" borderId="51" xfId="0" applyNumberFormat="1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2" fontId="3" fillId="2" borderId="17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3" fillId="2" borderId="89" xfId="0" applyNumberFormat="1" applyFont="1" applyFill="1" applyBorder="1" applyAlignment="1">
      <alignment horizontal="center" vertical="center"/>
    </xf>
    <xf numFmtId="2" fontId="4" fillId="2" borderId="67" xfId="0" applyNumberFormat="1" applyFont="1" applyFill="1" applyBorder="1" applyAlignment="1">
      <alignment horizontal="center" vertical="center"/>
    </xf>
    <xf numFmtId="2" fontId="13" fillId="2" borderId="28" xfId="0" applyNumberFormat="1" applyFont="1" applyFill="1" applyBorder="1" applyAlignment="1">
      <alignment horizontal="center" vertical="center"/>
    </xf>
    <xf numFmtId="2" fontId="13" fillId="2" borderId="29" xfId="0" applyNumberFormat="1" applyFont="1" applyFill="1" applyBorder="1" applyAlignment="1">
      <alignment horizontal="center" vertical="center"/>
    </xf>
    <xf numFmtId="2" fontId="13" fillId="2" borderId="10" xfId="0" applyNumberFormat="1" applyFont="1" applyFill="1" applyBorder="1" applyAlignment="1">
      <alignment horizontal="center" vertical="center"/>
    </xf>
    <xf numFmtId="2" fontId="4" fillId="2" borderId="84" xfId="0" applyNumberFormat="1" applyFont="1" applyFill="1" applyBorder="1" applyAlignment="1">
      <alignment horizontal="center" vertical="center"/>
    </xf>
    <xf numFmtId="2" fontId="4" fillId="2" borderId="47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13" xfId="0" applyNumberFormat="1" applyFont="1" applyFill="1" applyBorder="1" applyAlignment="1">
      <alignment horizontal="center" vertical="center"/>
    </xf>
    <xf numFmtId="2" fontId="4" fillId="2" borderId="87" xfId="0" applyNumberFormat="1" applyFont="1" applyFill="1" applyBorder="1" applyAlignment="1">
      <alignment horizontal="center" vertical="center"/>
    </xf>
    <xf numFmtId="2" fontId="4" fillId="2" borderId="82" xfId="0" applyNumberFormat="1" applyFont="1" applyFill="1" applyBorder="1" applyAlignment="1">
      <alignment horizontal="center" vertical="center"/>
    </xf>
    <xf numFmtId="2" fontId="13" fillId="2" borderId="79" xfId="0" applyNumberFormat="1" applyFont="1" applyFill="1" applyBorder="1" applyAlignment="1">
      <alignment horizontal="center" vertical="center"/>
    </xf>
    <xf numFmtId="2" fontId="13" fillId="2" borderId="80" xfId="0" applyNumberFormat="1" applyFont="1" applyFill="1" applyBorder="1" applyAlignment="1">
      <alignment horizontal="center" vertical="center"/>
    </xf>
    <xf numFmtId="2" fontId="13" fillId="2" borderId="76" xfId="0" applyNumberFormat="1" applyFont="1" applyFill="1" applyBorder="1" applyAlignment="1">
      <alignment horizontal="center" vertical="center"/>
    </xf>
    <xf numFmtId="2" fontId="4" fillId="2" borderId="90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17" fillId="2" borderId="119" xfId="0" applyFont="1" applyFill="1" applyBorder="1" applyAlignment="1">
      <alignment horizontal="center" vertical="center" wrapText="1"/>
    </xf>
    <xf numFmtId="0" fontId="3" fillId="2" borderId="71" xfId="0" applyFont="1" applyFill="1" applyBorder="1" applyAlignment="1">
      <alignment horizontal="center" vertical="center" shrinkToFi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6" fillId="2" borderId="91" xfId="0" applyFont="1" applyFill="1" applyBorder="1" applyAlignment="1">
      <alignment horizontal="center" vertical="center" wrapText="1" shrinkToFit="1"/>
    </xf>
    <xf numFmtId="0" fontId="3" fillId="2" borderId="7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17" fillId="2" borderId="120" xfId="0" applyFont="1" applyFill="1" applyBorder="1" applyAlignment="1">
      <alignment horizontal="center" vertical="center" wrapText="1"/>
    </xf>
    <xf numFmtId="0" fontId="3" fillId="2" borderId="105" xfId="0" applyFont="1" applyFill="1" applyBorder="1" applyAlignment="1">
      <alignment horizontal="center" vertical="center" shrinkToFit="1"/>
    </xf>
    <xf numFmtId="0" fontId="3" fillId="2" borderId="3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6" fillId="2" borderId="106" xfId="0" applyFont="1" applyFill="1" applyBorder="1" applyAlignment="1">
      <alignment horizontal="center" vertical="center" wrapText="1" shrinkToFit="1"/>
    </xf>
    <xf numFmtId="0" fontId="3" fillId="2" borderId="102" xfId="0" applyFont="1" applyFill="1" applyBorder="1" applyAlignment="1">
      <alignment horizontal="center" vertical="center" wrapText="1"/>
    </xf>
    <xf numFmtId="0" fontId="3" fillId="2" borderId="110" xfId="0" applyFont="1" applyFill="1" applyBorder="1" applyAlignment="1">
      <alignment horizontal="center" vertical="center" wrapText="1"/>
    </xf>
    <xf numFmtId="0" fontId="3" fillId="2" borderId="111" xfId="0" applyFont="1" applyFill="1" applyBorder="1" applyAlignment="1">
      <alignment horizontal="center" vertical="center" shrinkToFit="1"/>
    </xf>
    <xf numFmtId="0" fontId="3" fillId="2" borderId="112" xfId="0" applyFont="1" applyFill="1" applyBorder="1" applyAlignment="1">
      <alignment horizontal="center" vertical="center" wrapText="1"/>
    </xf>
    <xf numFmtId="0" fontId="3" fillId="2" borderId="104" xfId="0" applyFont="1" applyFill="1" applyBorder="1" applyAlignment="1">
      <alignment horizontal="center" vertical="center"/>
    </xf>
    <xf numFmtId="0" fontId="6" fillId="2" borderId="114" xfId="0" applyFont="1" applyFill="1" applyBorder="1" applyAlignment="1">
      <alignment horizontal="center" vertical="center" wrapText="1" shrinkToFit="1"/>
    </xf>
    <xf numFmtId="20" fontId="3" fillId="2" borderId="107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2" fontId="4" fillId="2" borderId="108" xfId="0" applyNumberFormat="1" applyFont="1" applyFill="1" applyBorder="1" applyAlignment="1" applyProtection="1">
      <alignment horizontal="center" vertical="center"/>
      <protection locked="0"/>
    </xf>
    <xf numFmtId="2" fontId="4" fillId="2" borderId="55" xfId="0" applyNumberFormat="1" applyFont="1" applyFill="1" applyBorder="1" applyAlignment="1" applyProtection="1">
      <alignment horizontal="center" vertical="center" shrinkToFit="1"/>
      <protection locked="0"/>
    </xf>
    <xf numFmtId="2" fontId="19" fillId="2" borderId="44" xfId="0" applyNumberFormat="1" applyFont="1" applyFill="1" applyBorder="1" applyAlignment="1">
      <alignment horizontal="center" vertical="center"/>
    </xf>
    <xf numFmtId="0" fontId="4" fillId="2" borderId="56" xfId="0" applyFont="1" applyFill="1" applyBorder="1" applyAlignment="1" applyProtection="1">
      <alignment horizontal="center" vertical="center"/>
      <protection locked="0"/>
    </xf>
    <xf numFmtId="0" fontId="4" fillId="2" borderId="57" xfId="0" applyFont="1" applyFill="1" applyBorder="1" applyAlignment="1" applyProtection="1">
      <alignment vertical="center"/>
      <protection locked="0"/>
    </xf>
    <xf numFmtId="2" fontId="4" fillId="2" borderId="23" xfId="0" applyNumberFormat="1" applyFont="1" applyFill="1" applyBorder="1" applyAlignment="1" applyProtection="1">
      <alignment horizontal="center" vertical="center"/>
      <protection locked="0"/>
    </xf>
    <xf numFmtId="2" fontId="12" fillId="2" borderId="1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vertical="center"/>
      <protection locked="0"/>
    </xf>
    <xf numFmtId="20" fontId="3" fillId="2" borderId="19" xfId="0" applyNumberFormat="1" applyFont="1" applyFill="1" applyBorder="1" applyAlignment="1">
      <alignment horizontal="center" vertical="center"/>
    </xf>
    <xf numFmtId="2" fontId="4" fillId="2" borderId="24" xfId="0" applyNumberFormat="1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vertical="center"/>
      <protection locked="0"/>
    </xf>
    <xf numFmtId="20" fontId="3" fillId="2" borderId="15" xfId="0" applyNumberFormat="1" applyFont="1" applyFill="1" applyBorder="1" applyAlignment="1">
      <alignment horizontal="center" vertical="center"/>
    </xf>
    <xf numFmtId="1" fontId="3" fillId="2" borderId="16" xfId="0" applyNumberFormat="1" applyFont="1" applyFill="1" applyBorder="1" applyAlignment="1">
      <alignment horizontal="center" vertical="center"/>
    </xf>
    <xf numFmtId="2" fontId="3" fillId="2" borderId="14" xfId="0" applyNumberFormat="1" applyFont="1" applyFill="1" applyBorder="1" applyAlignment="1">
      <alignment horizontal="center" vertical="center"/>
    </xf>
    <xf numFmtId="2" fontId="3" fillId="2" borderId="60" xfId="0" applyNumberFormat="1" applyFont="1" applyFill="1" applyBorder="1" applyAlignment="1">
      <alignment horizontal="center" vertical="center"/>
    </xf>
    <xf numFmtId="2" fontId="3" fillId="2" borderId="95" xfId="0" applyNumberFormat="1" applyFont="1" applyFill="1" applyBorder="1" applyAlignment="1">
      <alignment horizontal="center" vertical="center"/>
    </xf>
    <xf numFmtId="2" fontId="3" fillId="2" borderId="70" xfId="0" applyNumberFormat="1" applyFont="1" applyFill="1" applyBorder="1" applyAlignment="1">
      <alignment horizontal="center" vertical="center"/>
    </xf>
    <xf numFmtId="0" fontId="3" fillId="2" borderId="40" xfId="0" applyFont="1" applyFill="1" applyBorder="1" applyAlignment="1" applyProtection="1">
      <alignment vertical="center"/>
      <protection locked="0"/>
    </xf>
    <xf numFmtId="0" fontId="3" fillId="2" borderId="17" xfId="0" applyFont="1" applyFill="1" applyBorder="1" applyAlignment="1" applyProtection="1">
      <alignment vertical="center"/>
      <protection locked="0"/>
    </xf>
    <xf numFmtId="20" fontId="3" fillId="2" borderId="8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center"/>
    </xf>
    <xf numFmtId="2" fontId="13" fillId="2" borderId="67" xfId="0" applyNumberFormat="1" applyFont="1" applyFill="1" applyBorder="1" applyAlignment="1">
      <alignment horizontal="center" vertical="center"/>
    </xf>
    <xf numFmtId="2" fontId="4" fillId="2" borderId="93" xfId="0" applyNumberFormat="1" applyFont="1" applyFill="1" applyBorder="1" applyAlignment="1">
      <alignment horizontal="center" vertical="center"/>
    </xf>
    <xf numFmtId="20" fontId="3" fillId="2" borderId="18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2" fontId="13" fillId="2" borderId="47" xfId="0" applyNumberFormat="1" applyFont="1" applyFill="1" applyBorder="1" applyAlignment="1">
      <alignment horizontal="center" vertical="center"/>
    </xf>
    <xf numFmtId="20" fontId="3" fillId="2" borderId="74" xfId="0" applyNumberFormat="1" applyFont="1" applyFill="1" applyBorder="1" applyAlignment="1">
      <alignment horizontal="center" vertical="center"/>
    </xf>
    <xf numFmtId="0" fontId="13" fillId="2" borderId="82" xfId="0" applyFont="1" applyFill="1" applyBorder="1" applyAlignment="1">
      <alignment horizontal="center" vertical="center"/>
    </xf>
    <xf numFmtId="0" fontId="13" fillId="2" borderId="76" xfId="0" applyFont="1" applyFill="1" applyBorder="1" applyAlignment="1">
      <alignment horizontal="center" vertical="center"/>
    </xf>
    <xf numFmtId="2" fontId="4" fillId="2" borderId="94" xfId="0" applyNumberFormat="1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 shrinkToFi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67" xfId="0" applyFont="1" applyFill="1" applyBorder="1" applyAlignment="1">
      <alignment horizontal="center" vertical="center" wrapText="1"/>
    </xf>
    <xf numFmtId="0" fontId="7" fillId="2" borderId="68" xfId="0" applyFont="1" applyFill="1" applyBorder="1" applyAlignment="1">
      <alignment horizontal="center" vertical="center" wrapText="1"/>
    </xf>
    <xf numFmtId="0" fontId="7" fillId="2" borderId="69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91" xfId="0" applyFont="1" applyFill="1" applyBorder="1" applyAlignment="1">
      <alignment horizontal="center" vertical="center" wrapText="1"/>
    </xf>
    <xf numFmtId="0" fontId="7" fillId="2" borderId="72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73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 shrinkToFi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116" xfId="0" applyFont="1" applyFill="1" applyBorder="1" applyAlignment="1">
      <alignment horizontal="center" vertical="center" wrapText="1"/>
    </xf>
    <xf numFmtId="0" fontId="7" fillId="2" borderId="100" xfId="0" applyFont="1" applyFill="1" applyBorder="1" applyAlignment="1">
      <alignment horizontal="center" vertical="center" wrapText="1"/>
    </xf>
    <xf numFmtId="0" fontId="7" fillId="2" borderId="101" xfId="0" applyFont="1" applyFill="1" applyBorder="1" applyAlignment="1">
      <alignment horizontal="center" vertical="center" wrapText="1"/>
    </xf>
    <xf numFmtId="0" fontId="7" fillId="2" borderId="102" xfId="0" applyFont="1" applyFill="1" applyBorder="1" applyAlignment="1">
      <alignment horizontal="center" vertical="center" wrapText="1"/>
    </xf>
    <xf numFmtId="0" fontId="7" fillId="2" borderId="110" xfId="0" applyFont="1" applyFill="1" applyBorder="1" applyAlignment="1">
      <alignment horizontal="center" vertical="center" wrapText="1"/>
    </xf>
    <xf numFmtId="0" fontId="7" fillId="2" borderId="103" xfId="0" applyFont="1" applyFill="1" applyBorder="1" applyAlignment="1">
      <alignment horizontal="center" vertical="center" wrapText="1"/>
    </xf>
    <xf numFmtId="0" fontId="7" fillId="2" borderId="112" xfId="0" applyFont="1" applyFill="1" applyBorder="1" applyAlignment="1">
      <alignment horizontal="center" vertical="center" wrapText="1"/>
    </xf>
    <xf numFmtId="0" fontId="7" fillId="2" borderId="114" xfId="0" applyFont="1" applyFill="1" applyBorder="1" applyAlignment="1">
      <alignment vertical="center" wrapText="1"/>
    </xf>
    <xf numFmtId="164" fontId="7" fillId="2" borderId="113" xfId="0" applyNumberFormat="1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2" fontId="7" fillId="2" borderId="32" xfId="0" applyNumberFormat="1" applyFont="1" applyFill="1" applyBorder="1" applyAlignment="1">
      <alignment horizontal="center" vertical="center"/>
    </xf>
    <xf numFmtId="2" fontId="7" fillId="2" borderId="3" xfId="0" applyNumberFormat="1" applyFont="1" applyFill="1" applyBorder="1" applyAlignment="1">
      <alignment horizontal="center" vertical="center"/>
    </xf>
    <xf numFmtId="2" fontId="7" fillId="2" borderId="33" xfId="0" applyNumberFormat="1" applyFont="1" applyFill="1" applyBorder="1" applyAlignment="1">
      <alignment horizontal="center" vertical="center"/>
    </xf>
    <xf numFmtId="1" fontId="7" fillId="2" borderId="32" xfId="0" applyNumberFormat="1" applyFont="1" applyFill="1" applyBorder="1" applyAlignment="1">
      <alignment horizontal="center" vertical="center"/>
    </xf>
    <xf numFmtId="2" fontId="7" fillId="2" borderId="5" xfId="0" applyNumberFormat="1" applyFont="1" applyFill="1" applyBorder="1" applyAlignment="1">
      <alignment horizontal="center" vertical="center"/>
    </xf>
    <xf numFmtId="1" fontId="7" fillId="2" borderId="33" xfId="0" applyNumberFormat="1" applyFont="1" applyFill="1" applyBorder="1" applyAlignment="1">
      <alignment horizontal="center" vertical="center"/>
    </xf>
    <xf numFmtId="2" fontId="7" fillId="2" borderId="118" xfId="0" applyNumberFormat="1" applyFont="1" applyFill="1" applyBorder="1" applyAlignment="1">
      <alignment vertical="center"/>
    </xf>
    <xf numFmtId="0" fontId="7" fillId="2" borderId="50" xfId="0" applyFont="1" applyFill="1" applyBorder="1" applyAlignment="1">
      <alignment horizontal="center" vertical="center"/>
    </xf>
    <xf numFmtId="2" fontId="7" fillId="2" borderId="34" xfId="0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2" fontId="7" fillId="2" borderId="35" xfId="0" applyNumberFormat="1" applyFont="1" applyFill="1" applyBorder="1" applyAlignment="1">
      <alignment horizontal="center" vertical="center"/>
    </xf>
    <xf numFmtId="1" fontId="7" fillId="2" borderId="34" xfId="0" applyNumberFormat="1" applyFont="1" applyFill="1" applyBorder="1" applyAlignment="1">
      <alignment horizontal="center" vertical="center"/>
    </xf>
    <xf numFmtId="2" fontId="7" fillId="2" borderId="6" xfId="0" applyNumberFormat="1" applyFont="1" applyFill="1" applyBorder="1" applyAlignment="1">
      <alignment horizontal="center" vertical="center"/>
    </xf>
    <xf numFmtId="1" fontId="7" fillId="2" borderId="35" xfId="0" applyNumberFormat="1" applyFont="1" applyFill="1" applyBorder="1" applyAlignment="1">
      <alignment horizontal="center" vertical="center"/>
    </xf>
    <xf numFmtId="2" fontId="7" fillId="2" borderId="92" xfId="0" applyNumberFormat="1" applyFont="1" applyFill="1" applyBorder="1" applyAlignment="1">
      <alignment vertical="center"/>
    </xf>
    <xf numFmtId="0" fontId="7" fillId="2" borderId="77" xfId="0" applyFont="1" applyFill="1" applyBorder="1" applyAlignment="1">
      <alignment horizontal="center" vertical="center"/>
    </xf>
    <xf numFmtId="2" fontId="7" fillId="2" borderId="79" xfId="0" applyNumberFormat="1" applyFont="1" applyFill="1" applyBorder="1" applyAlignment="1">
      <alignment horizontal="center" vertical="center"/>
    </xf>
    <xf numFmtId="2" fontId="7" fillId="2" borderId="75" xfId="0" applyNumberFormat="1" applyFont="1" applyFill="1" applyBorder="1" applyAlignment="1">
      <alignment horizontal="center" vertical="center"/>
    </xf>
    <xf numFmtId="2" fontId="7" fillId="2" borderId="80" xfId="0" applyNumberFormat="1" applyFont="1" applyFill="1" applyBorder="1" applyAlignment="1">
      <alignment horizontal="center" vertical="center"/>
    </xf>
    <xf numFmtId="2" fontId="7" fillId="2" borderId="78" xfId="0" applyNumberFormat="1" applyFont="1" applyFill="1" applyBorder="1" applyAlignment="1">
      <alignment horizontal="center" vertical="center"/>
    </xf>
    <xf numFmtId="2" fontId="7" fillId="2" borderId="94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CFF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275167</xdr:colOff>
      <xdr:row>2</xdr:row>
      <xdr:rowOff>402167</xdr:rowOff>
    </xdr:from>
    <xdr:to>
      <xdr:col>0</xdr:col>
      <xdr:colOff>551392</xdr:colOff>
      <xdr:row>2</xdr:row>
      <xdr:rowOff>465665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flipV="1">
          <a:off x="275167" y="2063750"/>
          <a:ext cx="276225" cy="63498"/>
        </a:xfrm>
        <a:prstGeom prst="rightArrow">
          <a:avLst/>
        </a:prstGeom>
        <a:solidFill>
          <a:srgbClr val="002060">
            <a:alpha val="93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287073</xdr:colOff>
      <xdr:row>2</xdr:row>
      <xdr:rowOff>452439</xdr:rowOff>
    </xdr:from>
    <xdr:to>
      <xdr:col>0</xdr:col>
      <xdr:colOff>553773</xdr:colOff>
      <xdr:row>2</xdr:row>
      <xdr:rowOff>515937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flipV="1">
          <a:off x="287073" y="2250283"/>
          <a:ext cx="266700" cy="63498"/>
        </a:xfrm>
        <a:prstGeom prst="rightArrow">
          <a:avLst/>
        </a:prstGeom>
        <a:solidFill>
          <a:srgbClr val="0070C0">
            <a:alpha val="93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361950</xdr:rowOff>
    </xdr:from>
    <xdr:to>
      <xdr:col>0</xdr:col>
      <xdr:colOff>476250</xdr:colOff>
      <xdr:row>2</xdr:row>
      <xdr:rowOff>425448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 flipV="1">
          <a:off x="200025" y="1981200"/>
          <a:ext cx="276225" cy="63498"/>
        </a:xfrm>
        <a:prstGeom prst="rightArrow">
          <a:avLst/>
        </a:prstGeom>
        <a:solidFill>
          <a:srgbClr val="002060">
            <a:alpha val="93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Y31"/>
  <sheetViews>
    <sheetView zoomScale="69" zoomScaleNormal="69" workbookViewId="0">
      <selection activeCell="H10" sqref="H10"/>
    </sheetView>
  </sheetViews>
  <sheetFormatPr defaultRowHeight="15" x14ac:dyDescent="0.25"/>
  <cols>
    <col min="1" max="1" width="9.28515625" style="54" customWidth="1"/>
    <col min="2" max="5" width="9.7109375" style="54" customWidth="1"/>
    <col min="6" max="17" width="9.140625" style="54" customWidth="1"/>
    <col min="18" max="18" width="10.7109375" style="54" customWidth="1"/>
    <col min="19" max="19" width="9.42578125" style="54" customWidth="1"/>
    <col min="20" max="20" width="29.85546875" style="54" customWidth="1"/>
    <col min="21" max="16384" width="9.140625" style="54"/>
  </cols>
  <sheetData>
    <row r="1" spans="1:25" ht="24.95" customHeight="1" x14ac:dyDescent="0.25">
      <c r="A1" s="45" t="s">
        <v>7</v>
      </c>
      <c r="B1" s="46" t="s">
        <v>13</v>
      </c>
      <c r="C1" s="47"/>
      <c r="D1" s="47"/>
      <c r="E1" s="48"/>
      <c r="F1" s="46" t="s">
        <v>17</v>
      </c>
      <c r="G1" s="47"/>
      <c r="H1" s="47"/>
      <c r="I1" s="47"/>
      <c r="J1" s="47"/>
      <c r="K1" s="47"/>
      <c r="L1" s="47"/>
      <c r="M1" s="47"/>
      <c r="N1" s="48"/>
      <c r="O1" s="49" t="s">
        <v>16</v>
      </c>
      <c r="P1" s="47"/>
      <c r="Q1" s="50"/>
      <c r="R1" s="51" t="s">
        <v>28</v>
      </c>
      <c r="S1" s="52" t="s">
        <v>9</v>
      </c>
      <c r="T1" s="53" t="s">
        <v>8</v>
      </c>
    </row>
    <row r="2" spans="1:25" ht="24.95" customHeight="1" thickBot="1" x14ac:dyDescent="0.3">
      <c r="A2" s="55"/>
      <c r="B2" s="56" t="s">
        <v>11</v>
      </c>
      <c r="C2" s="57" t="s">
        <v>12</v>
      </c>
      <c r="D2" s="57" t="s">
        <v>80</v>
      </c>
      <c r="E2" s="58" t="s">
        <v>25</v>
      </c>
      <c r="F2" s="56" t="s">
        <v>29</v>
      </c>
      <c r="G2" s="57" t="s">
        <v>30</v>
      </c>
      <c r="H2" s="57" t="s">
        <v>31</v>
      </c>
      <c r="I2" s="57" t="s">
        <v>1</v>
      </c>
      <c r="J2" s="57" t="s">
        <v>2</v>
      </c>
      <c r="K2" s="57" t="s">
        <v>32</v>
      </c>
      <c r="L2" s="57" t="s">
        <v>33</v>
      </c>
      <c r="M2" s="57" t="s">
        <v>34</v>
      </c>
      <c r="N2" s="58" t="s">
        <v>3</v>
      </c>
      <c r="O2" s="56" t="s">
        <v>4</v>
      </c>
      <c r="P2" s="57" t="s">
        <v>5</v>
      </c>
      <c r="Q2" s="58" t="s">
        <v>6</v>
      </c>
      <c r="R2" s="59"/>
      <c r="S2" s="60"/>
      <c r="T2" s="61"/>
    </row>
    <row r="3" spans="1:25" ht="40.5" customHeight="1" thickBot="1" x14ac:dyDescent="0.3">
      <c r="A3" s="62" t="s">
        <v>57</v>
      </c>
      <c r="B3" s="63"/>
      <c r="C3" s="64"/>
      <c r="D3" s="64"/>
      <c r="E3" s="65"/>
      <c r="F3" s="63"/>
      <c r="G3" s="64"/>
      <c r="H3" s="64"/>
      <c r="I3" s="64"/>
      <c r="J3" s="66" t="s">
        <v>69</v>
      </c>
      <c r="K3" s="66" t="s">
        <v>62</v>
      </c>
      <c r="L3" s="64"/>
      <c r="M3" s="64"/>
      <c r="N3" s="65"/>
      <c r="O3" s="67" t="s">
        <v>74</v>
      </c>
      <c r="P3" s="66" t="s">
        <v>70</v>
      </c>
      <c r="Q3" s="68" t="s">
        <v>75</v>
      </c>
      <c r="R3" s="67" t="s">
        <v>58</v>
      </c>
      <c r="S3" s="66"/>
      <c r="T3" s="69"/>
    </row>
    <row r="4" spans="1:25" ht="24.95" customHeight="1" thickTop="1" x14ac:dyDescent="0.25">
      <c r="A4" s="70">
        <v>4.1666666666666664E-2</v>
      </c>
      <c r="B4" s="21">
        <f t="shared" ref="B4:B27" si="0">IF(C4="","",100-(C4+D4+E4))</f>
        <v>87.5</v>
      </c>
      <c r="C4" s="35">
        <v>12.1</v>
      </c>
      <c r="D4" s="35">
        <v>0.4</v>
      </c>
      <c r="E4" s="36">
        <v>0</v>
      </c>
      <c r="F4" s="71">
        <v>13.37</v>
      </c>
      <c r="G4" s="35">
        <v>3.39</v>
      </c>
      <c r="H4" s="35">
        <v>2.58</v>
      </c>
      <c r="I4" s="35">
        <v>40.770000000000003</v>
      </c>
      <c r="J4" s="35">
        <v>2.74</v>
      </c>
      <c r="K4" s="35">
        <v>0.13</v>
      </c>
      <c r="L4" s="35">
        <v>0.08</v>
      </c>
      <c r="M4" s="35">
        <v>0.32</v>
      </c>
      <c r="N4" s="36">
        <v>0.05</v>
      </c>
      <c r="O4" s="34">
        <f t="shared" ref="O4:O27" si="1">IF(F4="","",100*I4/(2.8*F4+1.18*G4+0.65*H4))</f>
        <v>94.565005613130111</v>
      </c>
      <c r="P4" s="37">
        <f t="shared" ref="P4" si="2">IF(F4="","",F4/(G4+H4))</f>
        <v>2.2395309882747063</v>
      </c>
      <c r="Q4" s="38">
        <f t="shared" ref="Q4" si="3">IF(G4="","",G4/H4)</f>
        <v>1.3139534883720931</v>
      </c>
      <c r="R4" s="71"/>
      <c r="S4" s="72">
        <v>1</v>
      </c>
      <c r="T4" s="73"/>
    </row>
    <row r="5" spans="1:25" ht="24.95" customHeight="1" x14ac:dyDescent="0.25">
      <c r="A5" s="70">
        <v>8.3333333333333301E-2</v>
      </c>
      <c r="B5" s="21">
        <f t="shared" si="0"/>
        <v>87.5</v>
      </c>
      <c r="C5" s="35">
        <v>12.1</v>
      </c>
      <c r="D5" s="35">
        <v>0.4</v>
      </c>
      <c r="E5" s="36">
        <v>0</v>
      </c>
      <c r="F5" s="71">
        <v>13.3</v>
      </c>
      <c r="G5" s="35">
        <v>3.36</v>
      </c>
      <c r="H5" s="35">
        <v>2.56</v>
      </c>
      <c r="I5" s="35">
        <v>40.78</v>
      </c>
      <c r="J5" s="74">
        <v>2.71</v>
      </c>
      <c r="K5" s="75">
        <v>0.09</v>
      </c>
      <c r="L5" s="75">
        <v>0.08</v>
      </c>
      <c r="M5" s="75">
        <v>0.31</v>
      </c>
      <c r="N5" s="76">
        <v>0.05</v>
      </c>
      <c r="O5" s="34">
        <f t="shared" si="1"/>
        <v>95.127458664576565</v>
      </c>
      <c r="P5" s="37">
        <f t="shared" ref="P5:P27" si="4">IF(F5="","",F5/(G5+H5))</f>
        <v>2.2466216216216219</v>
      </c>
      <c r="Q5" s="38">
        <f t="shared" ref="Q5:Q27" si="5">IF(G5="","",G5/H5)</f>
        <v>1.3125</v>
      </c>
      <c r="R5" s="77">
        <v>9.56</v>
      </c>
      <c r="S5" s="78">
        <v>1</v>
      </c>
      <c r="T5" s="79"/>
    </row>
    <row r="6" spans="1:25" ht="24.95" customHeight="1" x14ac:dyDescent="0.25">
      <c r="A6" s="70">
        <v>0.125</v>
      </c>
      <c r="B6" s="21">
        <f t="shared" si="0"/>
        <v>87.5</v>
      </c>
      <c r="C6" s="35">
        <v>12.1</v>
      </c>
      <c r="D6" s="35">
        <v>0.4</v>
      </c>
      <c r="E6" s="36">
        <v>0</v>
      </c>
      <c r="F6" s="71">
        <v>13.59</v>
      </c>
      <c r="G6" s="35">
        <v>3.4</v>
      </c>
      <c r="H6" s="35">
        <v>2.57</v>
      </c>
      <c r="I6" s="35">
        <v>40.76</v>
      </c>
      <c r="J6" s="74">
        <v>2.74</v>
      </c>
      <c r="K6" s="74">
        <v>0.13</v>
      </c>
      <c r="L6" s="74">
        <v>0.08</v>
      </c>
      <c r="M6" s="74">
        <v>0.32</v>
      </c>
      <c r="N6" s="80">
        <v>0.05</v>
      </c>
      <c r="O6" s="34">
        <f t="shared" si="1"/>
        <v>93.198733265499783</v>
      </c>
      <c r="P6" s="37">
        <f t="shared" si="4"/>
        <v>2.2763819095477387</v>
      </c>
      <c r="Q6" s="38">
        <f t="shared" si="5"/>
        <v>1.3229571984435797</v>
      </c>
      <c r="R6" s="77"/>
      <c r="S6" s="81">
        <v>1</v>
      </c>
      <c r="T6" s="79"/>
    </row>
    <row r="7" spans="1:25" ht="24.95" customHeight="1" x14ac:dyDescent="0.25">
      <c r="A7" s="70">
        <v>0.16666666666666699</v>
      </c>
      <c r="B7" s="21">
        <f t="shared" si="0"/>
        <v>87.5</v>
      </c>
      <c r="C7" s="35">
        <v>12.1</v>
      </c>
      <c r="D7" s="35">
        <v>0.4</v>
      </c>
      <c r="E7" s="36">
        <v>0</v>
      </c>
      <c r="F7" s="71">
        <v>13.27</v>
      </c>
      <c r="G7" s="35">
        <v>3.38</v>
      </c>
      <c r="H7" s="35">
        <v>2.59</v>
      </c>
      <c r="I7" s="35">
        <v>40.65</v>
      </c>
      <c r="J7" s="74">
        <v>2.7</v>
      </c>
      <c r="K7" s="74">
        <v>0.09</v>
      </c>
      <c r="L7" s="74">
        <v>0.08</v>
      </c>
      <c r="M7" s="74">
        <v>0.31</v>
      </c>
      <c r="N7" s="80">
        <v>0.05</v>
      </c>
      <c r="O7" s="34">
        <f t="shared" si="1"/>
        <v>94.914763506966253</v>
      </c>
      <c r="P7" s="37">
        <f t="shared" si="4"/>
        <v>2.2227805695142377</v>
      </c>
      <c r="Q7" s="38">
        <f t="shared" si="5"/>
        <v>1.3050193050193051</v>
      </c>
      <c r="R7" s="77">
        <v>10.44</v>
      </c>
      <c r="S7" s="81">
        <v>2</v>
      </c>
      <c r="T7" s="79"/>
    </row>
    <row r="8" spans="1:25" ht="24.95" customHeight="1" x14ac:dyDescent="0.25">
      <c r="A8" s="70">
        <v>0.20833333333333301</v>
      </c>
      <c r="B8" s="21">
        <f t="shared" si="0"/>
        <v>87.5</v>
      </c>
      <c r="C8" s="35">
        <v>12.1</v>
      </c>
      <c r="D8" s="35">
        <v>0.4</v>
      </c>
      <c r="E8" s="36">
        <v>0</v>
      </c>
      <c r="F8" s="71">
        <v>13.5</v>
      </c>
      <c r="G8" s="35">
        <v>3.46</v>
      </c>
      <c r="H8" s="35">
        <v>2.57</v>
      </c>
      <c r="I8" s="35">
        <v>40.74</v>
      </c>
      <c r="J8" s="74">
        <v>2.74</v>
      </c>
      <c r="K8" s="74">
        <v>0.1</v>
      </c>
      <c r="L8" s="74">
        <v>0.08</v>
      </c>
      <c r="M8" s="74">
        <v>0.32</v>
      </c>
      <c r="N8" s="80">
        <v>0.05</v>
      </c>
      <c r="O8" s="34">
        <f t="shared" si="1"/>
        <v>93.540558350343161</v>
      </c>
      <c r="P8" s="37">
        <f t="shared" si="4"/>
        <v>2.238805970149254</v>
      </c>
      <c r="Q8" s="38">
        <f t="shared" si="5"/>
        <v>1.3463035019455254</v>
      </c>
      <c r="R8" s="77"/>
      <c r="S8" s="81">
        <v>2</v>
      </c>
      <c r="T8" s="79"/>
    </row>
    <row r="9" spans="1:25" ht="24.95" customHeight="1" x14ac:dyDescent="0.25">
      <c r="A9" s="70">
        <v>0.25</v>
      </c>
      <c r="B9" s="21">
        <f t="shared" si="0"/>
        <v>87.6</v>
      </c>
      <c r="C9" s="35">
        <v>12</v>
      </c>
      <c r="D9" s="35">
        <v>0.4</v>
      </c>
      <c r="E9" s="36">
        <v>0</v>
      </c>
      <c r="F9" s="77">
        <v>13.6</v>
      </c>
      <c r="G9" s="74">
        <v>3.46</v>
      </c>
      <c r="H9" s="74">
        <v>2.61</v>
      </c>
      <c r="I9" s="74">
        <v>40.49</v>
      </c>
      <c r="J9" s="74">
        <v>2.63</v>
      </c>
      <c r="K9" s="74">
        <v>0.1</v>
      </c>
      <c r="L9" s="74">
        <v>0.08</v>
      </c>
      <c r="M9" s="74">
        <v>0.33</v>
      </c>
      <c r="N9" s="80">
        <v>0.05</v>
      </c>
      <c r="O9" s="34">
        <f t="shared" si="1"/>
        <v>92.317934850761418</v>
      </c>
      <c r="P9" s="37">
        <f t="shared" si="4"/>
        <v>2.2405271828665567</v>
      </c>
      <c r="Q9" s="38">
        <f t="shared" si="5"/>
        <v>1.3256704980842913</v>
      </c>
      <c r="R9" s="77">
        <v>10.26</v>
      </c>
      <c r="S9" s="81">
        <v>2</v>
      </c>
      <c r="T9" s="79"/>
    </row>
    <row r="10" spans="1:25" ht="24.95" customHeight="1" x14ac:dyDescent="0.25">
      <c r="A10" s="70">
        <v>0.29166666666666702</v>
      </c>
      <c r="B10" s="21">
        <f t="shared" si="0"/>
        <v>87.9</v>
      </c>
      <c r="C10" s="35">
        <v>11.7</v>
      </c>
      <c r="D10" s="35">
        <v>0.4</v>
      </c>
      <c r="E10" s="36">
        <v>0</v>
      </c>
      <c r="F10" s="77">
        <v>13.37</v>
      </c>
      <c r="G10" s="74">
        <v>3.41</v>
      </c>
      <c r="H10" s="74">
        <v>2.58</v>
      </c>
      <c r="I10" s="74">
        <v>40.69</v>
      </c>
      <c r="J10" s="74">
        <v>2.7</v>
      </c>
      <c r="K10" s="74">
        <v>0.1</v>
      </c>
      <c r="L10" s="74">
        <v>0.08</v>
      </c>
      <c r="M10" s="74">
        <v>0.33</v>
      </c>
      <c r="N10" s="80">
        <v>0.05</v>
      </c>
      <c r="O10" s="34">
        <f t="shared" si="1"/>
        <v>94.327812911481629</v>
      </c>
      <c r="P10" s="37">
        <f t="shared" si="4"/>
        <v>2.2320534223706177</v>
      </c>
      <c r="Q10" s="38">
        <f t="shared" si="5"/>
        <v>1.3217054263565893</v>
      </c>
      <c r="R10" s="77"/>
      <c r="S10" s="81">
        <v>1</v>
      </c>
      <c r="T10" s="79"/>
    </row>
    <row r="11" spans="1:25" ht="24.95" customHeight="1" x14ac:dyDescent="0.25">
      <c r="A11" s="70">
        <v>0.33333333333333298</v>
      </c>
      <c r="B11" s="21">
        <f t="shared" si="0"/>
        <v>87.9</v>
      </c>
      <c r="C11" s="35">
        <v>11.7</v>
      </c>
      <c r="D11" s="35">
        <v>0.4</v>
      </c>
      <c r="E11" s="36">
        <v>0</v>
      </c>
      <c r="F11" s="77">
        <v>13.11</v>
      </c>
      <c r="G11" s="74">
        <v>3.37</v>
      </c>
      <c r="H11" s="74">
        <v>2.5499999999999998</v>
      </c>
      <c r="I11" s="74">
        <v>40.67</v>
      </c>
      <c r="J11" s="74">
        <v>2.65</v>
      </c>
      <c r="K11" s="74">
        <v>0.09</v>
      </c>
      <c r="L11" s="74">
        <v>0.08</v>
      </c>
      <c r="M11" s="74">
        <v>0.31</v>
      </c>
      <c r="N11" s="80">
        <v>0.05</v>
      </c>
      <c r="O11" s="34">
        <f t="shared" si="1"/>
        <v>96.05097527047549</v>
      </c>
      <c r="P11" s="37">
        <f t="shared" si="4"/>
        <v>2.2145270270270268</v>
      </c>
      <c r="Q11" s="38">
        <f t="shared" si="5"/>
        <v>1.3215686274509806</v>
      </c>
      <c r="R11" s="77">
        <v>9.5500000000000007</v>
      </c>
      <c r="S11" s="81">
        <v>2</v>
      </c>
      <c r="T11" s="79"/>
    </row>
    <row r="12" spans="1:25" ht="24.95" customHeight="1" x14ac:dyDescent="0.25">
      <c r="A12" s="70">
        <v>0.375</v>
      </c>
      <c r="B12" s="21">
        <f t="shared" ref="B12" si="6">IF(C12="","",100-(C12+D12+E12))</f>
        <v>87.9</v>
      </c>
      <c r="C12" s="35">
        <v>11.7</v>
      </c>
      <c r="D12" s="35">
        <v>0.4</v>
      </c>
      <c r="E12" s="36">
        <v>0</v>
      </c>
      <c r="F12" s="77">
        <v>13.21</v>
      </c>
      <c r="G12" s="74">
        <v>3.39</v>
      </c>
      <c r="H12" s="74">
        <v>2.4900000000000002</v>
      </c>
      <c r="I12" s="74">
        <v>40.82</v>
      </c>
      <c r="J12" s="74">
        <v>2.78</v>
      </c>
      <c r="K12" s="74">
        <v>0.09</v>
      </c>
      <c r="L12" s="74">
        <v>0.08</v>
      </c>
      <c r="M12" s="74">
        <v>0.31</v>
      </c>
      <c r="N12" s="80">
        <v>0.05</v>
      </c>
      <c r="O12" s="34">
        <f t="shared" si="1"/>
        <v>95.806528081264219</v>
      </c>
      <c r="P12" s="37">
        <f t="shared" si="4"/>
        <v>2.2465986394557822</v>
      </c>
      <c r="Q12" s="38">
        <f t="shared" si="5"/>
        <v>1.36144578313253</v>
      </c>
      <c r="R12" s="77"/>
      <c r="S12" s="81">
        <v>2</v>
      </c>
      <c r="T12" s="79"/>
    </row>
    <row r="13" spans="1:25" ht="24.95" customHeight="1" x14ac:dyDescent="0.25">
      <c r="A13" s="70">
        <v>0.41666666666666702</v>
      </c>
      <c r="B13" s="21">
        <f t="shared" ref="B13" si="7">IF(C13="","",100-(C13+D13+E13))</f>
        <v>87.9</v>
      </c>
      <c r="C13" s="35">
        <v>11.7</v>
      </c>
      <c r="D13" s="35">
        <v>0.4</v>
      </c>
      <c r="E13" s="36">
        <v>0</v>
      </c>
      <c r="F13" s="77">
        <v>13.1</v>
      </c>
      <c r="G13" s="74">
        <v>3.2</v>
      </c>
      <c r="H13" s="74">
        <v>2.42</v>
      </c>
      <c r="I13" s="74">
        <v>41.04</v>
      </c>
      <c r="J13" s="74">
        <v>2.77</v>
      </c>
      <c r="K13" s="74">
        <v>0.14000000000000001</v>
      </c>
      <c r="L13" s="74">
        <v>0.08</v>
      </c>
      <c r="M13" s="74">
        <v>0.28000000000000003</v>
      </c>
      <c r="N13" s="80">
        <v>0.05</v>
      </c>
      <c r="O13" s="34">
        <f t="shared" si="1"/>
        <v>97.646862880392106</v>
      </c>
      <c r="P13" s="37">
        <f t="shared" si="4"/>
        <v>2.3309608540925266</v>
      </c>
      <c r="Q13" s="38">
        <f t="shared" si="5"/>
        <v>1.3223140495867769</v>
      </c>
      <c r="R13" s="77">
        <v>8.23</v>
      </c>
      <c r="S13" s="81">
        <v>1</v>
      </c>
      <c r="T13" s="79"/>
    </row>
    <row r="14" spans="1:25" ht="24.95" customHeight="1" x14ac:dyDescent="0.25">
      <c r="A14" s="70">
        <v>0.45833333333333298</v>
      </c>
      <c r="B14" s="21">
        <f t="shared" ref="B14" si="8">IF(C14="","",100-(C14+D14+E14))</f>
        <v>87.5</v>
      </c>
      <c r="C14" s="35">
        <v>11.7</v>
      </c>
      <c r="D14" s="35">
        <v>0.8</v>
      </c>
      <c r="E14" s="36">
        <v>0</v>
      </c>
      <c r="F14" s="77"/>
      <c r="G14" s="74"/>
      <c r="H14" s="74"/>
      <c r="I14" s="74"/>
      <c r="J14" s="74"/>
      <c r="K14" s="74"/>
      <c r="L14" s="74"/>
      <c r="M14" s="74"/>
      <c r="N14" s="80"/>
      <c r="O14" s="34" t="str">
        <f t="shared" si="1"/>
        <v/>
      </c>
      <c r="P14" s="37" t="str">
        <f t="shared" si="4"/>
        <v/>
      </c>
      <c r="Q14" s="38" t="str">
        <f t="shared" si="5"/>
        <v/>
      </c>
      <c r="R14" s="77"/>
      <c r="S14" s="81"/>
      <c r="T14" s="79"/>
    </row>
    <row r="15" spans="1:25" ht="24.95" customHeight="1" x14ac:dyDescent="0.25">
      <c r="A15" s="70">
        <v>0.5</v>
      </c>
      <c r="B15" s="21">
        <f t="shared" ref="B15" si="9">IF(C15="","",100-(C15+D15+E15))</f>
        <v>87.5</v>
      </c>
      <c r="C15" s="35">
        <v>11.7</v>
      </c>
      <c r="D15" s="35">
        <v>0.8</v>
      </c>
      <c r="E15" s="36">
        <v>0</v>
      </c>
      <c r="F15" s="77">
        <v>13.91</v>
      </c>
      <c r="G15" s="74">
        <v>3.25</v>
      </c>
      <c r="H15" s="74">
        <v>2.2599999999999998</v>
      </c>
      <c r="I15" s="74">
        <v>40.520000000000003</v>
      </c>
      <c r="J15" s="74">
        <v>2.68</v>
      </c>
      <c r="K15" s="74">
        <v>0.17</v>
      </c>
      <c r="L15" s="74">
        <v>0.08</v>
      </c>
      <c r="M15" s="74">
        <v>0.32</v>
      </c>
      <c r="N15" s="80">
        <v>0.06</v>
      </c>
      <c r="O15" s="34">
        <f t="shared" ref="O15" si="10">IF(F15="","",100*I15/(2.8*F15+1.18*G15+0.65*H15))</f>
        <v>91.566482870830697</v>
      </c>
      <c r="P15" s="37">
        <f t="shared" ref="P15" si="11">IF(F15="","",F15/(G15+H15))</f>
        <v>2.5245009074410163</v>
      </c>
      <c r="Q15" s="38">
        <f t="shared" ref="Q15" si="12">IF(G15="","",G15/H15)</f>
        <v>1.4380530973451329</v>
      </c>
      <c r="R15" s="77">
        <v>9.3000000000000007</v>
      </c>
      <c r="S15" s="81">
        <v>1</v>
      </c>
      <c r="T15" s="79"/>
      <c r="U15" s="82"/>
      <c r="V15" s="83"/>
      <c r="W15" s="83"/>
      <c r="X15" s="83"/>
      <c r="Y15" s="83"/>
    </row>
    <row r="16" spans="1:25" ht="24.95" customHeight="1" x14ac:dyDescent="0.25">
      <c r="A16" s="70">
        <v>0.54166666666666696</v>
      </c>
      <c r="B16" s="21">
        <f t="shared" ref="B16" si="13">IF(C16="","",100-(C16+D16+E16))</f>
        <v>89.2</v>
      </c>
      <c r="C16" s="35">
        <v>9.5</v>
      </c>
      <c r="D16" s="35">
        <v>1</v>
      </c>
      <c r="E16" s="36">
        <v>0.3</v>
      </c>
      <c r="F16" s="77">
        <v>13.27</v>
      </c>
      <c r="G16" s="74">
        <v>3.1</v>
      </c>
      <c r="H16" s="74">
        <v>2.2400000000000002</v>
      </c>
      <c r="I16" s="74">
        <v>40.869999999999997</v>
      </c>
      <c r="J16" s="74">
        <v>2.8</v>
      </c>
      <c r="K16" s="74">
        <v>0.16</v>
      </c>
      <c r="L16" s="74">
        <v>0.08</v>
      </c>
      <c r="M16" s="74">
        <v>0.32</v>
      </c>
      <c r="N16" s="80">
        <v>0.06</v>
      </c>
      <c r="O16" s="34">
        <f t="shared" si="1"/>
        <v>96.687958362905121</v>
      </c>
      <c r="P16" s="37">
        <f t="shared" si="4"/>
        <v>2.4850187265917603</v>
      </c>
      <c r="Q16" s="38">
        <f t="shared" si="5"/>
        <v>1.3839285714285714</v>
      </c>
      <c r="R16" s="77"/>
      <c r="S16" s="81">
        <v>2</v>
      </c>
      <c r="T16" s="79"/>
    </row>
    <row r="17" spans="1:20" ht="24.95" customHeight="1" x14ac:dyDescent="0.25">
      <c r="A17" s="70">
        <v>0.58333333333333304</v>
      </c>
      <c r="B17" s="21">
        <f t="shared" ref="B17" si="14">IF(C17="","",100-(C17+D17+E17))</f>
        <v>89</v>
      </c>
      <c r="C17" s="35">
        <v>9</v>
      </c>
      <c r="D17" s="35">
        <v>1.5</v>
      </c>
      <c r="E17" s="36">
        <v>0.5</v>
      </c>
      <c r="F17" s="77">
        <v>13.25</v>
      </c>
      <c r="G17" s="74">
        <v>3.12</v>
      </c>
      <c r="H17" s="74">
        <v>2.25</v>
      </c>
      <c r="I17" s="74">
        <v>40.75</v>
      </c>
      <c r="J17" s="74">
        <v>2.78</v>
      </c>
      <c r="K17" s="74">
        <v>0.16</v>
      </c>
      <c r="L17" s="74">
        <v>0.08</v>
      </c>
      <c r="M17" s="74">
        <v>0.31</v>
      </c>
      <c r="N17" s="80">
        <v>0.06</v>
      </c>
      <c r="O17" s="34">
        <f t="shared" si="1"/>
        <v>96.463174739194358</v>
      </c>
      <c r="P17" s="37">
        <f t="shared" si="4"/>
        <v>2.4674115456238361</v>
      </c>
      <c r="Q17" s="38">
        <f t="shared" si="5"/>
        <v>1.3866666666666667</v>
      </c>
      <c r="R17" s="77">
        <v>9.43</v>
      </c>
      <c r="S17" s="81">
        <v>2</v>
      </c>
      <c r="T17" s="79"/>
    </row>
    <row r="18" spans="1:20" ht="24.95" customHeight="1" x14ac:dyDescent="0.25">
      <c r="A18" s="70">
        <v>0.625</v>
      </c>
      <c r="B18" s="21">
        <f t="shared" ref="B18" si="15">IF(C18="","",100-(C18+D18+E18))</f>
        <v>89</v>
      </c>
      <c r="C18" s="35">
        <v>9</v>
      </c>
      <c r="D18" s="35">
        <v>1.5</v>
      </c>
      <c r="E18" s="36">
        <v>0.5</v>
      </c>
      <c r="F18" s="77">
        <v>13.3</v>
      </c>
      <c r="G18" s="74">
        <v>3.18</v>
      </c>
      <c r="H18" s="74">
        <v>2.2799999999999998</v>
      </c>
      <c r="I18" s="74">
        <v>41.07</v>
      </c>
      <c r="J18" s="74">
        <v>2.9</v>
      </c>
      <c r="K18" s="74">
        <v>0.19</v>
      </c>
      <c r="L18" s="74">
        <v>0.08</v>
      </c>
      <c r="M18" s="74">
        <v>0.31</v>
      </c>
      <c r="N18" s="80">
        <v>0.06</v>
      </c>
      <c r="O18" s="34">
        <f t="shared" si="1"/>
        <v>96.693537754506238</v>
      </c>
      <c r="P18" s="37">
        <f t="shared" si="4"/>
        <v>2.4358974358974361</v>
      </c>
      <c r="Q18" s="38">
        <f t="shared" si="5"/>
        <v>1.3947368421052633</v>
      </c>
      <c r="R18" s="77"/>
      <c r="S18" s="81">
        <v>2</v>
      </c>
      <c r="T18" s="79"/>
    </row>
    <row r="19" spans="1:20" ht="24.95" customHeight="1" x14ac:dyDescent="0.25">
      <c r="A19" s="70">
        <v>0.66666666666666696</v>
      </c>
      <c r="B19" s="21">
        <f t="shared" ref="B19" si="16">IF(C19="","",100-(C19+D19+E19))</f>
        <v>88.2</v>
      </c>
      <c r="C19" s="35">
        <v>9</v>
      </c>
      <c r="D19" s="35">
        <v>2</v>
      </c>
      <c r="E19" s="36">
        <v>0.8</v>
      </c>
      <c r="F19" s="77">
        <v>13.17</v>
      </c>
      <c r="G19" s="74">
        <v>3.2</v>
      </c>
      <c r="H19" s="74">
        <v>2.35</v>
      </c>
      <c r="I19" s="74">
        <v>40.840000000000003</v>
      </c>
      <c r="J19" s="74">
        <v>2.79</v>
      </c>
      <c r="K19" s="74">
        <v>0.17</v>
      </c>
      <c r="L19" s="74">
        <v>0.08</v>
      </c>
      <c r="M19" s="74">
        <v>0.31</v>
      </c>
      <c r="N19" s="80">
        <v>0.06</v>
      </c>
      <c r="O19" s="34">
        <f t="shared" si="1"/>
        <v>96.824286679548123</v>
      </c>
      <c r="P19" s="37">
        <f t="shared" si="4"/>
        <v>2.3729729729729727</v>
      </c>
      <c r="Q19" s="38">
        <f t="shared" si="5"/>
        <v>1.3617021276595744</v>
      </c>
      <c r="R19" s="77">
        <v>11.5</v>
      </c>
      <c r="S19" s="81">
        <v>2</v>
      </c>
      <c r="T19" s="84"/>
    </row>
    <row r="20" spans="1:20" ht="24.95" customHeight="1" x14ac:dyDescent="0.25">
      <c r="A20" s="70">
        <v>0.70833333333333304</v>
      </c>
      <c r="B20" s="21">
        <f t="shared" si="0"/>
        <v>87.9</v>
      </c>
      <c r="C20" s="35">
        <v>9</v>
      </c>
      <c r="D20" s="35">
        <v>2</v>
      </c>
      <c r="E20" s="36">
        <v>1.1000000000000001</v>
      </c>
      <c r="F20" s="77">
        <v>13.66</v>
      </c>
      <c r="G20" s="74">
        <v>3.29</v>
      </c>
      <c r="H20" s="74">
        <v>2.5099999999999998</v>
      </c>
      <c r="I20" s="74">
        <v>40.57</v>
      </c>
      <c r="J20" s="74">
        <v>2.84</v>
      </c>
      <c r="K20" s="74">
        <v>0.19</v>
      </c>
      <c r="L20" s="74">
        <v>0.09</v>
      </c>
      <c r="M20" s="74">
        <v>0.31</v>
      </c>
      <c r="N20" s="80">
        <v>0.06</v>
      </c>
      <c r="O20" s="34">
        <f t="shared" si="1"/>
        <v>92.70663616815618</v>
      </c>
      <c r="P20" s="37">
        <f t="shared" si="4"/>
        <v>2.3551724137931034</v>
      </c>
      <c r="Q20" s="38">
        <f t="shared" si="5"/>
        <v>1.310756972111554</v>
      </c>
      <c r="R20" s="77"/>
      <c r="S20" s="81">
        <v>1</v>
      </c>
      <c r="T20" s="79"/>
    </row>
    <row r="21" spans="1:20" ht="24.95" customHeight="1" x14ac:dyDescent="0.25">
      <c r="A21" s="70">
        <v>0.75</v>
      </c>
      <c r="B21" s="21">
        <f t="shared" si="0"/>
        <v>87.9</v>
      </c>
      <c r="C21" s="35">
        <v>9</v>
      </c>
      <c r="D21" s="35">
        <v>2</v>
      </c>
      <c r="E21" s="36">
        <v>1.1000000000000001</v>
      </c>
      <c r="F21" s="77">
        <v>13.47</v>
      </c>
      <c r="G21" s="74">
        <v>3.29</v>
      </c>
      <c r="H21" s="74">
        <v>2.5099999999999998</v>
      </c>
      <c r="I21" s="74">
        <v>40.69</v>
      </c>
      <c r="J21" s="74">
        <v>2.85</v>
      </c>
      <c r="K21" s="74">
        <v>0.19</v>
      </c>
      <c r="L21" s="74">
        <v>0.08</v>
      </c>
      <c r="M21" s="74">
        <v>0.3</v>
      </c>
      <c r="N21" s="80">
        <v>0.06</v>
      </c>
      <c r="O21" s="34">
        <f t="shared" si="1"/>
        <v>94.125103805948228</v>
      </c>
      <c r="P21" s="37">
        <f t="shared" si="4"/>
        <v>2.3224137931034483</v>
      </c>
      <c r="Q21" s="38">
        <f t="shared" si="5"/>
        <v>1.310756972111554</v>
      </c>
      <c r="R21" s="77">
        <v>11.23</v>
      </c>
      <c r="S21" s="81">
        <v>1</v>
      </c>
      <c r="T21" s="85"/>
    </row>
    <row r="22" spans="1:20" ht="24.95" customHeight="1" x14ac:dyDescent="0.25">
      <c r="A22" s="70">
        <v>0.79166666666666696</v>
      </c>
      <c r="B22" s="21">
        <f t="shared" si="0"/>
        <v>87.9</v>
      </c>
      <c r="C22" s="35">
        <v>9</v>
      </c>
      <c r="D22" s="35">
        <v>2</v>
      </c>
      <c r="E22" s="36">
        <v>1.1000000000000001</v>
      </c>
      <c r="F22" s="77">
        <v>13.47</v>
      </c>
      <c r="G22" s="74">
        <v>3.3</v>
      </c>
      <c r="H22" s="74">
        <v>2.56</v>
      </c>
      <c r="I22" s="74">
        <v>40.700000000000003</v>
      </c>
      <c r="J22" s="74">
        <v>2.8</v>
      </c>
      <c r="K22" s="74">
        <v>0.18</v>
      </c>
      <c r="L22" s="74">
        <v>0.09</v>
      </c>
      <c r="M22" s="74">
        <v>0.3</v>
      </c>
      <c r="N22" s="80">
        <v>0.06</v>
      </c>
      <c r="O22" s="34">
        <f t="shared" si="1"/>
        <v>94.051855617691928</v>
      </c>
      <c r="P22" s="37">
        <f t="shared" si="4"/>
        <v>2.2986348122866898</v>
      </c>
      <c r="Q22" s="38">
        <f t="shared" si="5"/>
        <v>1.2890625</v>
      </c>
      <c r="R22" s="77"/>
      <c r="S22" s="81">
        <v>2</v>
      </c>
      <c r="T22" s="79"/>
    </row>
    <row r="23" spans="1:20" ht="24.95" customHeight="1" x14ac:dyDescent="0.25">
      <c r="A23" s="70">
        <v>0.83333333333333304</v>
      </c>
      <c r="B23" s="21">
        <f t="shared" si="0"/>
        <v>87.9</v>
      </c>
      <c r="C23" s="35">
        <v>9</v>
      </c>
      <c r="D23" s="35">
        <v>2</v>
      </c>
      <c r="E23" s="36">
        <v>1.1000000000000001</v>
      </c>
      <c r="F23" s="77">
        <v>13.73</v>
      </c>
      <c r="G23" s="74">
        <v>3.31</v>
      </c>
      <c r="H23" s="74">
        <v>2.52</v>
      </c>
      <c r="I23" s="74">
        <v>40.6</v>
      </c>
      <c r="J23" s="74">
        <v>2.86</v>
      </c>
      <c r="K23" s="74">
        <v>0.18</v>
      </c>
      <c r="L23" s="74">
        <v>0.08</v>
      </c>
      <c r="M23" s="74">
        <v>0.3</v>
      </c>
      <c r="N23" s="80">
        <v>0.06</v>
      </c>
      <c r="O23" s="34">
        <f t="shared" si="1"/>
        <v>92.298319079381116</v>
      </c>
      <c r="P23" s="37">
        <f t="shared" si="4"/>
        <v>2.3550600343053172</v>
      </c>
      <c r="Q23" s="38">
        <f t="shared" si="5"/>
        <v>1.3134920634920635</v>
      </c>
      <c r="R23" s="77">
        <v>11.74</v>
      </c>
      <c r="S23" s="81">
        <v>2</v>
      </c>
      <c r="T23" s="79"/>
    </row>
    <row r="24" spans="1:20" ht="24.95" customHeight="1" x14ac:dyDescent="0.25">
      <c r="A24" s="70">
        <v>0.875</v>
      </c>
      <c r="B24" s="21">
        <f t="shared" si="0"/>
        <v>87.9</v>
      </c>
      <c r="C24" s="35">
        <v>9</v>
      </c>
      <c r="D24" s="35">
        <v>2</v>
      </c>
      <c r="E24" s="36">
        <v>1.1000000000000001</v>
      </c>
      <c r="F24" s="77">
        <v>13.56</v>
      </c>
      <c r="G24" s="74">
        <v>3.32</v>
      </c>
      <c r="H24" s="74">
        <v>2.57</v>
      </c>
      <c r="I24" s="74">
        <v>40.67</v>
      </c>
      <c r="J24" s="74">
        <v>2.85</v>
      </c>
      <c r="K24" s="74">
        <v>0.17</v>
      </c>
      <c r="L24" s="74">
        <v>0.09</v>
      </c>
      <c r="M24" s="74">
        <v>0.3</v>
      </c>
      <c r="N24" s="80">
        <v>0.06</v>
      </c>
      <c r="O24" s="34">
        <f t="shared" si="1"/>
        <v>93.373832827089672</v>
      </c>
      <c r="P24" s="37">
        <f t="shared" si="4"/>
        <v>2.3022071307300513</v>
      </c>
      <c r="Q24" s="38">
        <f t="shared" si="5"/>
        <v>1.2918287937743191</v>
      </c>
      <c r="R24" s="77"/>
      <c r="S24" s="81">
        <v>2</v>
      </c>
      <c r="T24" s="85"/>
    </row>
    <row r="25" spans="1:20" ht="24.95" customHeight="1" x14ac:dyDescent="0.25">
      <c r="A25" s="70">
        <v>0.91666666666666696</v>
      </c>
      <c r="B25" s="21">
        <f t="shared" si="0"/>
        <v>87.9</v>
      </c>
      <c r="C25" s="35">
        <v>9</v>
      </c>
      <c r="D25" s="35">
        <v>2</v>
      </c>
      <c r="E25" s="36">
        <v>1.1000000000000001</v>
      </c>
      <c r="F25" s="77">
        <v>13.31</v>
      </c>
      <c r="G25" s="74">
        <v>3.26</v>
      </c>
      <c r="H25" s="74">
        <v>2.56</v>
      </c>
      <c r="I25" s="74">
        <v>40.630000000000003</v>
      </c>
      <c r="J25" s="74">
        <v>2.78</v>
      </c>
      <c r="K25" s="74">
        <v>0.16</v>
      </c>
      <c r="L25" s="74">
        <v>0.08</v>
      </c>
      <c r="M25" s="74">
        <v>0.3</v>
      </c>
      <c r="N25" s="80">
        <v>0.05</v>
      </c>
      <c r="O25" s="34">
        <f t="shared" si="1"/>
        <v>94.976951200127161</v>
      </c>
      <c r="P25" s="37">
        <f t="shared" si="4"/>
        <v>2.2869415807560136</v>
      </c>
      <c r="Q25" s="38">
        <f t="shared" si="5"/>
        <v>1.2734375</v>
      </c>
      <c r="R25" s="77">
        <v>11.07</v>
      </c>
      <c r="S25" s="81">
        <v>2</v>
      </c>
      <c r="T25" s="79"/>
    </row>
    <row r="26" spans="1:20" ht="24.95" customHeight="1" x14ac:dyDescent="0.25">
      <c r="A26" s="70">
        <v>0.95833333333333304</v>
      </c>
      <c r="B26" s="21">
        <f t="shared" si="0"/>
        <v>87.9</v>
      </c>
      <c r="C26" s="35">
        <v>9</v>
      </c>
      <c r="D26" s="35">
        <v>2</v>
      </c>
      <c r="E26" s="36">
        <v>1.1000000000000001</v>
      </c>
      <c r="F26" s="77">
        <v>13.66</v>
      </c>
      <c r="G26" s="74">
        <v>3.17</v>
      </c>
      <c r="H26" s="74">
        <v>2.5299999999999998</v>
      </c>
      <c r="I26" s="74">
        <v>40.08</v>
      </c>
      <c r="J26" s="74">
        <v>2.83</v>
      </c>
      <c r="K26" s="74">
        <v>0.16</v>
      </c>
      <c r="L26" s="74">
        <v>0.08</v>
      </c>
      <c r="M26" s="74">
        <v>0.28999999999999998</v>
      </c>
      <c r="N26" s="80">
        <v>0.06</v>
      </c>
      <c r="O26" s="34">
        <f t="shared" si="1"/>
        <v>91.856870128411686</v>
      </c>
      <c r="P26" s="37">
        <f t="shared" si="4"/>
        <v>2.3964912280701758</v>
      </c>
      <c r="Q26" s="38">
        <f t="shared" si="5"/>
        <v>1.2529644268774704</v>
      </c>
      <c r="R26" s="77"/>
      <c r="S26" s="81">
        <v>1</v>
      </c>
      <c r="T26" s="79"/>
    </row>
    <row r="27" spans="1:20" ht="24.95" customHeight="1" thickBot="1" x14ac:dyDescent="0.3">
      <c r="A27" s="86">
        <v>1</v>
      </c>
      <c r="B27" s="21">
        <f t="shared" si="0"/>
        <v>88.1</v>
      </c>
      <c r="C27" s="35">
        <v>8.4</v>
      </c>
      <c r="D27" s="35">
        <v>2.4</v>
      </c>
      <c r="E27" s="36">
        <v>1.1000000000000001</v>
      </c>
      <c r="F27" s="87">
        <v>13.19</v>
      </c>
      <c r="G27" s="88">
        <v>3.29</v>
      </c>
      <c r="H27" s="88">
        <v>2.4900000000000002</v>
      </c>
      <c r="I27" s="88">
        <v>40.71</v>
      </c>
      <c r="J27" s="88">
        <v>2.76</v>
      </c>
      <c r="K27" s="88">
        <v>0.17</v>
      </c>
      <c r="L27" s="88">
        <v>0.08</v>
      </c>
      <c r="M27" s="88">
        <v>0.3</v>
      </c>
      <c r="N27" s="89">
        <v>0.06</v>
      </c>
      <c r="O27" s="34">
        <f t="shared" si="1"/>
        <v>95.940159358230815</v>
      </c>
      <c r="P27" s="37">
        <f t="shared" si="4"/>
        <v>2.2820069204152249</v>
      </c>
      <c r="Q27" s="38">
        <f t="shared" si="5"/>
        <v>1.321285140562249</v>
      </c>
      <c r="R27" s="90">
        <v>9.7200000000000006</v>
      </c>
      <c r="S27" s="91">
        <v>1</v>
      </c>
      <c r="T27" s="85"/>
    </row>
    <row r="28" spans="1:20" ht="24.95" customHeight="1" thickTop="1" thickBot="1" x14ac:dyDescent="0.3">
      <c r="A28" s="92" t="s">
        <v>10</v>
      </c>
      <c r="B28" s="93">
        <f>AVERAGE(B4:B27)</f>
        <v>87.937500000000014</v>
      </c>
      <c r="C28" s="94">
        <f t="shared" ref="C28:N28" si="17">AVERAGE(C4:C27)</f>
        <v>10.441666666666666</v>
      </c>
      <c r="D28" s="94">
        <f t="shared" si="17"/>
        <v>1.1666666666666667</v>
      </c>
      <c r="E28" s="95">
        <f t="shared" si="17"/>
        <v>0.45416666666666661</v>
      </c>
      <c r="F28" s="93">
        <f t="shared" si="17"/>
        <v>13.407391304347826</v>
      </c>
      <c r="G28" s="94">
        <f t="shared" si="17"/>
        <v>3.3000000000000007</v>
      </c>
      <c r="H28" s="94">
        <f t="shared" si="17"/>
        <v>2.4847826086956526</v>
      </c>
      <c r="I28" s="94">
        <f t="shared" si="17"/>
        <v>40.700434782608703</v>
      </c>
      <c r="J28" s="94">
        <f t="shared" si="17"/>
        <v>2.7686956521739132</v>
      </c>
      <c r="K28" s="94">
        <f t="shared" si="17"/>
        <v>0.14391304347826087</v>
      </c>
      <c r="L28" s="94">
        <f t="shared" si="17"/>
        <v>8.1304347826086976E-2</v>
      </c>
      <c r="M28" s="94">
        <f t="shared" si="17"/>
        <v>0.3091304347826086</v>
      </c>
      <c r="N28" s="95">
        <f t="shared" si="17"/>
        <v>5.5217391304347843E-2</v>
      </c>
      <c r="O28" s="93">
        <f t="shared" ref="O28" si="18">I28/(2.8*F28+1.18*G28+0.65*H28)*100</f>
        <v>94.542670748895006</v>
      </c>
      <c r="P28" s="94">
        <f t="shared" ref="P28" si="19">F28/(G28+H28)</f>
        <v>2.3177001127395709</v>
      </c>
      <c r="Q28" s="96">
        <f t="shared" ref="Q28" si="20">G28/H28</f>
        <v>1.3280839895013123</v>
      </c>
      <c r="R28" s="97">
        <f t="shared" ref="R28" si="21">AVERAGE(R4:R27)</f>
        <v>10.169166666666667</v>
      </c>
      <c r="S28" s="98"/>
      <c r="T28" s="99"/>
    </row>
    <row r="29" spans="1:20" ht="24.95" customHeight="1" x14ac:dyDescent="0.25">
      <c r="A29" s="100" t="s">
        <v>43</v>
      </c>
      <c r="B29" s="101">
        <f>MIN(B4:B27)</f>
        <v>87.5</v>
      </c>
      <c r="C29" s="102">
        <f t="shared" ref="C29:R29" si="22">MIN(C4:C27)</f>
        <v>8.4</v>
      </c>
      <c r="D29" s="102">
        <f t="shared" si="22"/>
        <v>0.4</v>
      </c>
      <c r="E29" s="103">
        <f t="shared" si="22"/>
        <v>0</v>
      </c>
      <c r="F29" s="104">
        <f t="shared" si="22"/>
        <v>13.1</v>
      </c>
      <c r="G29" s="102">
        <f t="shared" si="22"/>
        <v>3.1</v>
      </c>
      <c r="H29" s="102">
        <f t="shared" si="22"/>
        <v>2.2400000000000002</v>
      </c>
      <c r="I29" s="102">
        <f t="shared" si="22"/>
        <v>40.08</v>
      </c>
      <c r="J29" s="102">
        <f t="shared" si="22"/>
        <v>2.63</v>
      </c>
      <c r="K29" s="102">
        <f t="shared" si="22"/>
        <v>0.09</v>
      </c>
      <c r="L29" s="102">
        <f t="shared" si="22"/>
        <v>0.08</v>
      </c>
      <c r="M29" s="102">
        <f t="shared" si="22"/>
        <v>0.28000000000000003</v>
      </c>
      <c r="N29" s="105">
        <f t="shared" si="22"/>
        <v>0.05</v>
      </c>
      <c r="O29" s="101">
        <f t="shared" si="22"/>
        <v>91.566482870830697</v>
      </c>
      <c r="P29" s="102">
        <f t="shared" si="22"/>
        <v>2.2145270270270268</v>
      </c>
      <c r="Q29" s="103">
        <f t="shared" si="22"/>
        <v>1.2529644268774704</v>
      </c>
      <c r="R29" s="104">
        <f t="shared" si="22"/>
        <v>8.23</v>
      </c>
      <c r="S29" s="106"/>
      <c r="T29" s="107"/>
    </row>
    <row r="30" spans="1:20" ht="24.95" customHeight="1" x14ac:dyDescent="0.25">
      <c r="A30" s="108" t="s">
        <v>44</v>
      </c>
      <c r="B30" s="21">
        <f>MAX(B4:B27)</f>
        <v>89.2</v>
      </c>
      <c r="C30" s="22">
        <f t="shared" ref="C30:R30" si="23">MAX(C4:C27)</f>
        <v>12.1</v>
      </c>
      <c r="D30" s="22">
        <f t="shared" si="23"/>
        <v>2.4</v>
      </c>
      <c r="E30" s="23">
        <f t="shared" si="23"/>
        <v>1.1000000000000001</v>
      </c>
      <c r="F30" s="109">
        <f t="shared" si="23"/>
        <v>13.91</v>
      </c>
      <c r="G30" s="22">
        <f t="shared" si="23"/>
        <v>3.46</v>
      </c>
      <c r="H30" s="22">
        <f t="shared" si="23"/>
        <v>2.61</v>
      </c>
      <c r="I30" s="22">
        <f t="shared" si="23"/>
        <v>41.07</v>
      </c>
      <c r="J30" s="22">
        <f t="shared" si="23"/>
        <v>2.9</v>
      </c>
      <c r="K30" s="22">
        <f t="shared" si="23"/>
        <v>0.19</v>
      </c>
      <c r="L30" s="22">
        <f t="shared" si="23"/>
        <v>0.09</v>
      </c>
      <c r="M30" s="22">
        <f t="shared" si="23"/>
        <v>0.33</v>
      </c>
      <c r="N30" s="110">
        <f t="shared" si="23"/>
        <v>0.06</v>
      </c>
      <c r="O30" s="21">
        <f t="shared" si="23"/>
        <v>97.646862880392106</v>
      </c>
      <c r="P30" s="22">
        <f t="shared" si="23"/>
        <v>2.5245009074410163</v>
      </c>
      <c r="Q30" s="23">
        <f t="shared" si="23"/>
        <v>1.4380530973451329</v>
      </c>
      <c r="R30" s="109">
        <f t="shared" si="23"/>
        <v>11.74</v>
      </c>
      <c r="S30" s="111"/>
      <c r="T30" s="112"/>
    </row>
    <row r="31" spans="1:20" ht="24.95" customHeight="1" thickBot="1" x14ac:dyDescent="0.3">
      <c r="A31" s="113" t="s">
        <v>45</v>
      </c>
      <c r="B31" s="114">
        <f>STDEV(B4:B27)</f>
        <v>0.48527222302001055</v>
      </c>
      <c r="C31" s="115">
        <f t="shared" ref="C31:R31" si="24">STDEV(C4:C27)</f>
        <v>1.4966387460679511</v>
      </c>
      <c r="D31" s="115">
        <f t="shared" si="24"/>
        <v>0.76537383117616153</v>
      </c>
      <c r="E31" s="116">
        <f t="shared" si="24"/>
        <v>0.50903076413963411</v>
      </c>
      <c r="F31" s="117">
        <f t="shared" si="24"/>
        <v>0.21509442728304562</v>
      </c>
      <c r="G31" s="115">
        <f t="shared" si="24"/>
        <v>0.10291214258244304</v>
      </c>
      <c r="H31" s="115">
        <f t="shared" si="24"/>
        <v>0.12105106229932253</v>
      </c>
      <c r="I31" s="115">
        <f t="shared" si="24"/>
        <v>0.19443340203289905</v>
      </c>
      <c r="J31" s="115">
        <f t="shared" si="24"/>
        <v>6.9759609818686133E-2</v>
      </c>
      <c r="K31" s="115">
        <f t="shared" si="24"/>
        <v>3.7263085613071734E-2</v>
      </c>
      <c r="L31" s="115">
        <f t="shared" si="24"/>
        <v>3.4435022157509082E-3</v>
      </c>
      <c r="M31" s="115">
        <f t="shared" si="24"/>
        <v>1.2027636160965027E-2</v>
      </c>
      <c r="N31" s="118">
        <f t="shared" si="24"/>
        <v>5.10753918455249E-3</v>
      </c>
      <c r="O31" s="114">
        <f t="shared" si="24"/>
        <v>1.7620441428132616</v>
      </c>
      <c r="P31" s="115">
        <f t="shared" si="24"/>
        <v>9.0235563702825511E-2</v>
      </c>
      <c r="Q31" s="116">
        <f t="shared" si="24"/>
        <v>4.2132658390489929E-2</v>
      </c>
      <c r="R31" s="117">
        <f t="shared" si="24"/>
        <v>1.0563871392055033</v>
      </c>
      <c r="S31" s="119"/>
      <c r="T31" s="120"/>
    </row>
  </sheetData>
  <mergeCells count="7">
    <mergeCell ref="S1:S2"/>
    <mergeCell ref="T1:T2"/>
    <mergeCell ref="F1:N1"/>
    <mergeCell ref="O1:Q1"/>
    <mergeCell ref="A1:A2"/>
    <mergeCell ref="B1:E1"/>
    <mergeCell ref="R1:R2"/>
  </mergeCells>
  <printOptions horizontalCentered="1" verticalCentered="1"/>
  <pageMargins left="0" right="0" top="0" bottom="0" header="0.3" footer="0.3"/>
  <pageSetup paperSize="9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V30"/>
  <sheetViews>
    <sheetView zoomScale="77" zoomScaleNormal="77" zoomScaleSheetLayoutView="70" workbookViewId="0">
      <selection activeCell="F8" sqref="F8"/>
    </sheetView>
  </sheetViews>
  <sheetFormatPr defaultRowHeight="15" x14ac:dyDescent="0.25"/>
  <cols>
    <col min="1" max="1" width="9" style="54" customWidth="1"/>
    <col min="2" max="13" width="9.7109375" style="54" customWidth="1"/>
    <col min="14" max="14" width="11.5703125" style="54" customWidth="1"/>
    <col min="15" max="18" width="10.7109375" style="54" customWidth="1"/>
    <col min="19" max="19" width="1.140625" style="54" customWidth="1"/>
    <col min="20" max="20" width="11.5703125" style="54" customWidth="1"/>
    <col min="21" max="22" width="9.140625" style="54" customWidth="1"/>
    <col min="23" max="16384" width="9.140625" style="54"/>
  </cols>
  <sheetData>
    <row r="1" spans="1:22" ht="23.25" customHeight="1" x14ac:dyDescent="0.25">
      <c r="A1" s="45" t="s">
        <v>7</v>
      </c>
      <c r="B1" s="46" t="s">
        <v>17</v>
      </c>
      <c r="C1" s="47"/>
      <c r="D1" s="47"/>
      <c r="E1" s="47"/>
      <c r="F1" s="47"/>
      <c r="G1" s="47"/>
      <c r="H1" s="47"/>
      <c r="I1" s="47"/>
      <c r="J1" s="48"/>
      <c r="K1" s="46" t="s">
        <v>16</v>
      </c>
      <c r="L1" s="47"/>
      <c r="M1" s="48"/>
      <c r="N1" s="121" t="s">
        <v>28</v>
      </c>
      <c r="O1" s="51" t="s">
        <v>15</v>
      </c>
      <c r="P1" s="122"/>
      <c r="Q1" s="123" t="s">
        <v>42</v>
      </c>
      <c r="R1" s="124" t="s">
        <v>32</v>
      </c>
      <c r="T1" s="125" t="s">
        <v>54</v>
      </c>
      <c r="U1" s="125" t="s">
        <v>55</v>
      </c>
      <c r="V1" s="125" t="s">
        <v>56</v>
      </c>
    </row>
    <row r="2" spans="1:22" ht="23.25" customHeight="1" thickBot="1" x14ac:dyDescent="0.3">
      <c r="A2" s="55"/>
      <c r="B2" s="126" t="s">
        <v>29</v>
      </c>
      <c r="C2" s="127" t="s">
        <v>30</v>
      </c>
      <c r="D2" s="127" t="s">
        <v>31</v>
      </c>
      <c r="E2" s="127" t="s">
        <v>1</v>
      </c>
      <c r="F2" s="127" t="s">
        <v>2</v>
      </c>
      <c r="G2" s="127" t="s">
        <v>32</v>
      </c>
      <c r="H2" s="127" t="s">
        <v>33</v>
      </c>
      <c r="I2" s="127" t="s">
        <v>34</v>
      </c>
      <c r="J2" s="128" t="s">
        <v>3</v>
      </c>
      <c r="K2" s="126" t="s">
        <v>4</v>
      </c>
      <c r="L2" s="127" t="s">
        <v>5</v>
      </c>
      <c r="M2" s="128" t="s">
        <v>6</v>
      </c>
      <c r="N2" s="129"/>
      <c r="O2" s="130">
        <v>1</v>
      </c>
      <c r="P2" s="131">
        <v>2</v>
      </c>
      <c r="Q2" s="130" t="s">
        <v>14</v>
      </c>
      <c r="R2" s="132" t="s">
        <v>14</v>
      </c>
      <c r="T2" s="133"/>
      <c r="U2" s="133"/>
      <c r="V2" s="133"/>
    </row>
    <row r="3" spans="1:22" ht="21.95" customHeight="1" thickTop="1" x14ac:dyDescent="0.25">
      <c r="A3" s="134">
        <f>'Raw Mill'!A4</f>
        <v>4.1666666666666664E-2</v>
      </c>
      <c r="B3" s="135">
        <v>13.13</v>
      </c>
      <c r="C3" s="136">
        <v>3.34</v>
      </c>
      <c r="D3" s="136">
        <v>2.52</v>
      </c>
      <c r="E3" s="136">
        <v>40.93</v>
      </c>
      <c r="F3" s="136">
        <v>2.5499999999999998</v>
      </c>
      <c r="G3" s="136">
        <v>0.11</v>
      </c>
      <c r="H3" s="136">
        <v>0.08</v>
      </c>
      <c r="I3" s="136">
        <v>0.3</v>
      </c>
      <c r="J3" s="137">
        <v>0.06</v>
      </c>
      <c r="K3" s="21">
        <f t="shared" ref="K3" si="0">IF(B3="","",100*E3/(2.8*B3+1.18*C3+0.65*D3))</f>
        <v>96.662510155113452</v>
      </c>
      <c r="L3" s="22">
        <f t="shared" ref="L3" si="1">IF(B3="","",B3/(C3+D3))</f>
        <v>2.2406143344709899</v>
      </c>
      <c r="M3" s="27">
        <f t="shared" ref="M3" si="2">IF(C3="","",C3/D3)</f>
        <v>1.3253968253968254</v>
      </c>
      <c r="N3" s="138">
        <v>10.1</v>
      </c>
      <c r="O3" s="139">
        <v>0.5</v>
      </c>
      <c r="P3" s="140">
        <v>0.5</v>
      </c>
      <c r="Q3" s="135"/>
      <c r="R3" s="141"/>
      <c r="T3" s="142"/>
      <c r="U3" s="142"/>
      <c r="V3" s="142"/>
    </row>
    <row r="4" spans="1:22" ht="21.95" customHeight="1" x14ac:dyDescent="0.25">
      <c r="A4" s="143">
        <f>'Raw Mill'!A5</f>
        <v>8.3333333333333301E-2</v>
      </c>
      <c r="B4" s="77"/>
      <c r="C4" s="74"/>
      <c r="D4" s="74"/>
      <c r="E4" s="74"/>
      <c r="F4" s="74"/>
      <c r="G4" s="75"/>
      <c r="H4" s="75"/>
      <c r="I4" s="75"/>
      <c r="J4" s="76"/>
      <c r="K4" s="21"/>
      <c r="L4" s="22"/>
      <c r="M4" s="27"/>
      <c r="N4" s="144"/>
      <c r="O4" s="145"/>
      <c r="P4" s="146"/>
      <c r="Q4" s="77"/>
      <c r="R4" s="147"/>
      <c r="T4" s="148"/>
      <c r="U4" s="148"/>
      <c r="V4" s="148"/>
    </row>
    <row r="5" spans="1:22" ht="21.95" customHeight="1" x14ac:dyDescent="0.25">
      <c r="A5" s="143">
        <f>'Raw Mill'!A6</f>
        <v>0.125</v>
      </c>
      <c r="B5" s="77">
        <v>13.16</v>
      </c>
      <c r="C5" s="74">
        <v>3.33</v>
      </c>
      <c r="D5" s="74">
        <v>2.5299999999999998</v>
      </c>
      <c r="E5" s="74">
        <v>40.869999999999997</v>
      </c>
      <c r="F5" s="74">
        <v>2.5499999999999998</v>
      </c>
      <c r="G5" s="74">
        <v>0.11</v>
      </c>
      <c r="H5" s="74">
        <v>0.08</v>
      </c>
      <c r="I5" s="74">
        <v>0.3</v>
      </c>
      <c r="J5" s="80">
        <v>0.06</v>
      </c>
      <c r="K5" s="21">
        <f t="shared" ref="K5:K11" si="3">IF(B5="","",100*E5/(2.8*B5+1.18*C5+0.65*D5))</f>
        <v>96.341748012229516</v>
      </c>
      <c r="L5" s="22">
        <f t="shared" ref="L5:L11" si="4">IF(B5="","",B5/(C5+D5))</f>
        <v>2.2457337883959045</v>
      </c>
      <c r="M5" s="27">
        <f t="shared" ref="M5:M11" si="5">IF(C5="","",C5/D5)</f>
        <v>1.3162055335968381</v>
      </c>
      <c r="N5" s="144">
        <v>9.86</v>
      </c>
      <c r="O5" s="145">
        <v>0.5</v>
      </c>
      <c r="P5" s="146">
        <v>0.5</v>
      </c>
      <c r="Q5" s="77">
        <v>95.05</v>
      </c>
      <c r="R5" s="149">
        <v>2.35</v>
      </c>
      <c r="T5" s="148">
        <v>36.520000000000003</v>
      </c>
      <c r="U5" s="148">
        <v>2.77</v>
      </c>
      <c r="V5" s="148">
        <f t="shared" ref="V5" si="6">((T5-U5)/T5)/((100-U5))*10000</f>
        <v>95.047943027333574</v>
      </c>
    </row>
    <row r="6" spans="1:22" ht="21.95" customHeight="1" x14ac:dyDescent="0.25">
      <c r="A6" s="143">
        <f>'Raw Mill'!A7</f>
        <v>0.16666666666666699</v>
      </c>
      <c r="B6" s="77"/>
      <c r="C6" s="74"/>
      <c r="D6" s="74"/>
      <c r="E6" s="74"/>
      <c r="F6" s="74"/>
      <c r="G6" s="74"/>
      <c r="H6" s="74"/>
      <c r="I6" s="74"/>
      <c r="J6" s="80"/>
      <c r="K6" s="21"/>
      <c r="L6" s="22"/>
      <c r="M6" s="27"/>
      <c r="N6" s="144"/>
      <c r="O6" s="145"/>
      <c r="P6" s="146"/>
      <c r="Q6" s="77"/>
      <c r="R6" s="149"/>
      <c r="T6" s="148"/>
      <c r="U6" s="148"/>
      <c r="V6" s="148"/>
    </row>
    <row r="7" spans="1:22" ht="21.95" customHeight="1" x14ac:dyDescent="0.25">
      <c r="A7" s="143">
        <f>'Raw Mill'!A8</f>
        <v>0.20833333333333301</v>
      </c>
      <c r="B7" s="77">
        <v>13.08</v>
      </c>
      <c r="C7" s="74">
        <v>3.34</v>
      </c>
      <c r="D7" s="74">
        <v>2.5299999999999998</v>
      </c>
      <c r="E7" s="74">
        <v>40.869999999999997</v>
      </c>
      <c r="F7" s="74">
        <v>2.54</v>
      </c>
      <c r="G7" s="74">
        <v>0.11</v>
      </c>
      <c r="H7" s="74">
        <v>0.08</v>
      </c>
      <c r="I7" s="74">
        <v>0.3</v>
      </c>
      <c r="J7" s="80">
        <v>0.06</v>
      </c>
      <c r="K7" s="21">
        <f t="shared" si="3"/>
        <v>96.826084999419564</v>
      </c>
      <c r="L7" s="22">
        <f t="shared" si="4"/>
        <v>2.2282793867120958</v>
      </c>
      <c r="M7" s="27">
        <f t="shared" si="5"/>
        <v>1.3201581027667986</v>
      </c>
      <c r="N7" s="144">
        <v>10.119999999999999</v>
      </c>
      <c r="O7" s="145">
        <v>0.5</v>
      </c>
      <c r="P7" s="146">
        <v>0.5</v>
      </c>
      <c r="Q7" s="77"/>
      <c r="R7" s="149"/>
      <c r="T7" s="148"/>
      <c r="U7" s="148"/>
      <c r="V7" s="148"/>
    </row>
    <row r="8" spans="1:22" ht="21.95" customHeight="1" x14ac:dyDescent="0.25">
      <c r="A8" s="143">
        <f>'Raw Mill'!A9</f>
        <v>0.25</v>
      </c>
      <c r="B8" s="77"/>
      <c r="C8" s="74"/>
      <c r="D8" s="74"/>
      <c r="E8" s="74"/>
      <c r="F8" s="74"/>
      <c r="G8" s="74"/>
      <c r="H8" s="74"/>
      <c r="I8" s="74"/>
      <c r="J8" s="80"/>
      <c r="K8" s="21"/>
      <c r="L8" s="22"/>
      <c r="M8" s="27"/>
      <c r="N8" s="144"/>
      <c r="O8" s="145"/>
      <c r="P8" s="146"/>
      <c r="Q8" s="77"/>
      <c r="R8" s="149"/>
      <c r="T8" s="148"/>
      <c r="U8" s="148"/>
      <c r="V8" s="148"/>
    </row>
    <row r="9" spans="1:22" ht="21.95" customHeight="1" x14ac:dyDescent="0.25">
      <c r="A9" s="143">
        <f>'Raw Mill'!A10</f>
        <v>0.29166666666666702</v>
      </c>
      <c r="B9" s="77">
        <v>13.22</v>
      </c>
      <c r="C9" s="74">
        <v>3.35</v>
      </c>
      <c r="D9" s="74">
        <v>2.52</v>
      </c>
      <c r="E9" s="74">
        <v>40.909999999999997</v>
      </c>
      <c r="F9" s="74">
        <v>2.5499999999999998</v>
      </c>
      <c r="G9" s="74">
        <v>0.11</v>
      </c>
      <c r="H9" s="74">
        <v>0.08</v>
      </c>
      <c r="I9" s="74">
        <v>0.3</v>
      </c>
      <c r="J9" s="80">
        <v>0.06</v>
      </c>
      <c r="K9" s="21">
        <f t="shared" si="3"/>
        <v>96.017086394254463</v>
      </c>
      <c r="L9" s="22">
        <f t="shared" si="4"/>
        <v>2.2521294718909712</v>
      </c>
      <c r="M9" s="27">
        <f t="shared" si="5"/>
        <v>1.3293650793650793</v>
      </c>
      <c r="N9" s="144">
        <v>9.92</v>
      </c>
      <c r="O9" s="145">
        <v>0.5</v>
      </c>
      <c r="P9" s="146">
        <v>0.5</v>
      </c>
      <c r="Q9" s="77"/>
      <c r="R9" s="149"/>
      <c r="T9" s="148"/>
      <c r="U9" s="148"/>
      <c r="V9" s="148"/>
    </row>
    <row r="10" spans="1:22" ht="21.95" customHeight="1" x14ac:dyDescent="0.25">
      <c r="A10" s="143">
        <f>'Raw Mill'!A11</f>
        <v>0.33333333333333298</v>
      </c>
      <c r="B10" s="77"/>
      <c r="C10" s="74"/>
      <c r="D10" s="74"/>
      <c r="E10" s="74"/>
      <c r="F10" s="74"/>
      <c r="G10" s="74"/>
      <c r="H10" s="74"/>
      <c r="I10" s="74"/>
      <c r="J10" s="80"/>
      <c r="K10" s="21"/>
      <c r="L10" s="22"/>
      <c r="M10" s="27"/>
      <c r="N10" s="144"/>
      <c r="O10" s="145"/>
      <c r="P10" s="146"/>
      <c r="Q10" s="77"/>
      <c r="R10" s="149"/>
      <c r="T10" s="148"/>
      <c r="U10" s="148"/>
      <c r="V10" s="148"/>
    </row>
    <row r="11" spans="1:22" ht="21.95" customHeight="1" x14ac:dyDescent="0.25">
      <c r="A11" s="143">
        <f>'Raw Mill'!A12</f>
        <v>0.375</v>
      </c>
      <c r="B11" s="77">
        <v>13.16</v>
      </c>
      <c r="C11" s="74">
        <v>3.37</v>
      </c>
      <c r="D11" s="74">
        <v>2.5099999999999998</v>
      </c>
      <c r="E11" s="74">
        <v>40.97</v>
      </c>
      <c r="F11" s="74">
        <v>2.56</v>
      </c>
      <c r="G11" s="74">
        <v>0.12</v>
      </c>
      <c r="H11" s="74">
        <v>0.08</v>
      </c>
      <c r="I11" s="74">
        <v>0.31</v>
      </c>
      <c r="J11" s="80">
        <v>0.06</v>
      </c>
      <c r="K11" s="21">
        <f t="shared" si="3"/>
        <v>96.499678491429975</v>
      </c>
      <c r="L11" s="22">
        <f t="shared" si="4"/>
        <v>2.2380952380952381</v>
      </c>
      <c r="M11" s="27">
        <f t="shared" si="5"/>
        <v>1.3426294820717133</v>
      </c>
      <c r="N11" s="144">
        <v>9.73</v>
      </c>
      <c r="O11" s="145">
        <v>0.5</v>
      </c>
      <c r="P11" s="146">
        <v>0.5</v>
      </c>
      <c r="Q11" s="77">
        <v>96.77</v>
      </c>
      <c r="R11" s="149">
        <v>2.2999999999999998</v>
      </c>
      <c r="T11" s="148">
        <v>36.69</v>
      </c>
      <c r="U11" s="148">
        <v>1.84</v>
      </c>
      <c r="V11" s="148">
        <f t="shared" ref="V11" si="7">((T11-U11)/T11)/((100-U11))*10000</f>
        <v>96.765494640774264</v>
      </c>
    </row>
    <row r="12" spans="1:22" ht="21.95" customHeight="1" x14ac:dyDescent="0.25">
      <c r="A12" s="143">
        <f>'Raw Mill'!A13</f>
        <v>0.41666666666666702</v>
      </c>
      <c r="B12" s="77"/>
      <c r="C12" s="74"/>
      <c r="D12" s="74"/>
      <c r="E12" s="74"/>
      <c r="F12" s="74"/>
      <c r="G12" s="74"/>
      <c r="H12" s="74"/>
      <c r="I12" s="74"/>
      <c r="J12" s="80"/>
      <c r="K12" s="21"/>
      <c r="L12" s="22"/>
      <c r="M12" s="27"/>
      <c r="N12" s="144"/>
      <c r="O12" s="145"/>
      <c r="P12" s="146"/>
      <c r="Q12" s="77"/>
      <c r="R12" s="149"/>
      <c r="T12" s="148"/>
      <c r="U12" s="148"/>
      <c r="V12" s="148"/>
    </row>
    <row r="13" spans="1:22" ht="21.95" customHeight="1" x14ac:dyDescent="0.25">
      <c r="A13" s="143">
        <f>'Raw Mill'!A14</f>
        <v>0.45833333333333298</v>
      </c>
      <c r="B13" s="77">
        <v>13.21</v>
      </c>
      <c r="C13" s="74">
        <v>3.35</v>
      </c>
      <c r="D13" s="74">
        <v>2.5099999999999998</v>
      </c>
      <c r="E13" s="74">
        <v>41.01</v>
      </c>
      <c r="F13" s="74">
        <v>2.58</v>
      </c>
      <c r="G13" s="74">
        <v>0.11</v>
      </c>
      <c r="H13" s="74">
        <v>0.08</v>
      </c>
      <c r="I13" s="74">
        <v>0.3</v>
      </c>
      <c r="J13" s="80">
        <v>0.06</v>
      </c>
      <c r="K13" s="21">
        <f t="shared" ref="K13:K25" si="8">IF(B13="","",100*E13/(2.8*B13+1.18*C13+0.65*D13))</f>
        <v>96.329790357625214</v>
      </c>
      <c r="L13" s="22">
        <f t="shared" ref="L13:L25" si="9">IF(B13="","",B13/(C13+D13))</f>
        <v>2.2542662116040959</v>
      </c>
      <c r="M13" s="27">
        <f t="shared" ref="M13:M25" si="10">IF(C13="","",C13/D13)</f>
        <v>1.3346613545816735</v>
      </c>
      <c r="N13" s="144">
        <v>9.81</v>
      </c>
      <c r="O13" s="145">
        <v>0.5</v>
      </c>
      <c r="P13" s="146">
        <v>0.5</v>
      </c>
      <c r="Q13" s="77"/>
      <c r="R13" s="149"/>
      <c r="T13" s="148"/>
      <c r="U13" s="148"/>
    </row>
    <row r="14" spans="1:22" ht="21.95" customHeight="1" x14ac:dyDescent="0.25">
      <c r="A14" s="143">
        <f>'Raw Mill'!A15</f>
        <v>0.5</v>
      </c>
      <c r="B14" s="77"/>
      <c r="C14" s="74"/>
      <c r="D14" s="74"/>
      <c r="E14" s="74"/>
      <c r="F14" s="74"/>
      <c r="G14" s="74"/>
      <c r="H14" s="74"/>
      <c r="I14" s="74"/>
      <c r="J14" s="80"/>
      <c r="K14" s="21"/>
      <c r="L14" s="22"/>
      <c r="M14" s="27"/>
      <c r="N14" s="144"/>
      <c r="O14" s="145"/>
      <c r="P14" s="146"/>
      <c r="Q14" s="77"/>
      <c r="R14" s="149"/>
      <c r="T14" s="148"/>
      <c r="U14" s="148"/>
      <c r="V14" s="148"/>
    </row>
    <row r="15" spans="1:22" ht="21.95" customHeight="1" x14ac:dyDescent="0.25">
      <c r="A15" s="143">
        <f>'Raw Mill'!A16</f>
        <v>0.54166666666666696</v>
      </c>
      <c r="B15" s="77">
        <v>13.14</v>
      </c>
      <c r="C15" s="74">
        <v>3.36</v>
      </c>
      <c r="D15" s="74">
        <v>2.4900000000000002</v>
      </c>
      <c r="E15" s="74">
        <v>40.93</v>
      </c>
      <c r="F15" s="74">
        <v>2.5</v>
      </c>
      <c r="G15" s="74">
        <v>0.12</v>
      </c>
      <c r="H15" s="74">
        <v>0.08</v>
      </c>
      <c r="I15" s="74">
        <v>0.31</v>
      </c>
      <c r="J15" s="80">
        <v>0.06</v>
      </c>
      <c r="K15" s="21">
        <f t="shared" si="8"/>
        <v>96.589286683516121</v>
      </c>
      <c r="L15" s="22">
        <f t="shared" si="9"/>
        <v>2.2461538461538462</v>
      </c>
      <c r="M15" s="27">
        <f t="shared" si="10"/>
        <v>1.3493975903614457</v>
      </c>
      <c r="N15" s="144">
        <v>9.6999999999999993</v>
      </c>
      <c r="O15" s="145">
        <v>0.5</v>
      </c>
      <c r="P15" s="146">
        <v>0.5</v>
      </c>
      <c r="Q15" s="77"/>
      <c r="R15" s="149"/>
      <c r="T15" s="148"/>
      <c r="U15" s="148"/>
      <c r="V15" s="148"/>
    </row>
    <row r="16" spans="1:22" ht="21.95" customHeight="1" x14ac:dyDescent="0.25">
      <c r="A16" s="143">
        <f>'Raw Mill'!A17</f>
        <v>0.58333333333333304</v>
      </c>
      <c r="B16" s="77"/>
      <c r="C16" s="74"/>
      <c r="D16" s="74"/>
      <c r="E16" s="74"/>
      <c r="F16" s="74"/>
      <c r="G16" s="74"/>
      <c r="H16" s="74"/>
      <c r="I16" s="74"/>
      <c r="J16" s="80"/>
      <c r="K16" s="21"/>
      <c r="L16" s="22"/>
      <c r="M16" s="27"/>
      <c r="N16" s="144"/>
      <c r="O16" s="145"/>
      <c r="P16" s="146"/>
      <c r="Q16" s="77"/>
      <c r="R16" s="149"/>
      <c r="T16" s="148"/>
      <c r="U16" s="148"/>
      <c r="V16" s="148"/>
    </row>
    <row r="17" spans="1:22" ht="21.95" customHeight="1" x14ac:dyDescent="0.25">
      <c r="A17" s="143">
        <f>'Raw Mill'!A18</f>
        <v>0.625</v>
      </c>
      <c r="B17" s="77">
        <v>13.24</v>
      </c>
      <c r="C17" s="74">
        <v>3.34</v>
      </c>
      <c r="D17" s="74">
        <v>2.4700000000000002</v>
      </c>
      <c r="E17" s="74">
        <v>40.89</v>
      </c>
      <c r="F17" s="74">
        <v>2.5099999999999998</v>
      </c>
      <c r="G17" s="74">
        <v>0.12</v>
      </c>
      <c r="H17" s="74">
        <v>0.08</v>
      </c>
      <c r="I17" s="74">
        <v>0.31</v>
      </c>
      <c r="J17" s="80">
        <v>0.06</v>
      </c>
      <c r="K17" s="21">
        <f t="shared" si="8"/>
        <v>95.943799318139696</v>
      </c>
      <c r="L17" s="22">
        <f t="shared" si="9"/>
        <v>2.2788296041308089</v>
      </c>
      <c r="M17" s="27">
        <f t="shared" si="10"/>
        <v>1.3522267206477732</v>
      </c>
      <c r="N17" s="144">
        <v>10.97</v>
      </c>
      <c r="O17" s="145">
        <v>0.5</v>
      </c>
      <c r="P17" s="146">
        <v>0.5</v>
      </c>
      <c r="Q17" s="77"/>
      <c r="R17" s="149"/>
      <c r="T17" s="148"/>
      <c r="U17" s="148"/>
      <c r="V17" s="148"/>
    </row>
    <row r="18" spans="1:22" ht="21.95" customHeight="1" x14ac:dyDescent="0.25">
      <c r="A18" s="143">
        <f>'Raw Mill'!A19</f>
        <v>0.66666666666666696</v>
      </c>
      <c r="B18" s="77"/>
      <c r="C18" s="74"/>
      <c r="D18" s="74"/>
      <c r="E18" s="74"/>
      <c r="F18" s="74"/>
      <c r="G18" s="74"/>
      <c r="H18" s="74"/>
      <c r="I18" s="74"/>
      <c r="J18" s="80"/>
      <c r="K18" s="21"/>
      <c r="L18" s="22"/>
      <c r="M18" s="27"/>
      <c r="N18" s="144"/>
      <c r="O18" s="145"/>
      <c r="P18" s="146"/>
      <c r="Q18" s="77"/>
      <c r="R18" s="149"/>
      <c r="T18" s="148"/>
      <c r="U18" s="148"/>
      <c r="V18" s="148"/>
    </row>
    <row r="19" spans="1:22" ht="21.95" customHeight="1" x14ac:dyDescent="0.25">
      <c r="A19" s="143">
        <f>'Raw Mill'!A20</f>
        <v>0.70833333333333304</v>
      </c>
      <c r="B19" s="77">
        <v>13.3</v>
      </c>
      <c r="C19" s="74">
        <v>3.3</v>
      </c>
      <c r="D19" s="74">
        <v>2.46</v>
      </c>
      <c r="E19" s="74">
        <v>41.04</v>
      </c>
      <c r="F19" s="74">
        <v>2.58</v>
      </c>
      <c r="G19" s="74">
        <v>0.12</v>
      </c>
      <c r="H19" s="74">
        <v>0.08</v>
      </c>
      <c r="I19" s="74">
        <v>0.31</v>
      </c>
      <c r="J19" s="80">
        <v>0.06</v>
      </c>
      <c r="K19" s="21">
        <f t="shared" si="8"/>
        <v>96.038190625511902</v>
      </c>
      <c r="L19" s="22">
        <f t="shared" si="9"/>
        <v>2.3090277777777781</v>
      </c>
      <c r="M19" s="27">
        <f t="shared" si="10"/>
        <v>1.3414634146341462</v>
      </c>
      <c r="N19" s="144">
        <v>9.6300000000000008</v>
      </c>
      <c r="O19" s="145">
        <v>0.5</v>
      </c>
      <c r="P19" s="146">
        <v>0.5</v>
      </c>
      <c r="Q19" s="77"/>
      <c r="R19" s="149"/>
      <c r="T19" s="148"/>
      <c r="U19" s="148"/>
      <c r="V19" s="148"/>
    </row>
    <row r="20" spans="1:22" ht="21.95" customHeight="1" x14ac:dyDescent="0.25">
      <c r="A20" s="143">
        <f>'Raw Mill'!A21</f>
        <v>0.75</v>
      </c>
      <c r="B20" s="77"/>
      <c r="C20" s="74"/>
      <c r="D20" s="74"/>
      <c r="E20" s="74"/>
      <c r="F20" s="74"/>
      <c r="G20" s="74"/>
      <c r="H20" s="74"/>
      <c r="I20" s="74"/>
      <c r="J20" s="80"/>
      <c r="K20" s="21"/>
      <c r="L20" s="22"/>
      <c r="M20" s="27"/>
      <c r="N20" s="144"/>
      <c r="O20" s="145"/>
      <c r="P20" s="146"/>
      <c r="Q20" s="77"/>
      <c r="R20" s="149"/>
      <c r="T20" s="148"/>
      <c r="U20" s="148"/>
      <c r="V20" s="148"/>
    </row>
    <row r="21" spans="1:22" ht="21.95" customHeight="1" x14ac:dyDescent="0.25">
      <c r="A21" s="143">
        <f>'Raw Mill'!A22</f>
        <v>0.79166666666666696</v>
      </c>
      <c r="B21" s="77">
        <v>13.29</v>
      </c>
      <c r="C21" s="74">
        <v>3.29</v>
      </c>
      <c r="D21" s="74">
        <v>2.4900000000000002</v>
      </c>
      <c r="E21" s="74">
        <v>40.840000000000003</v>
      </c>
      <c r="F21" s="74">
        <v>2.59</v>
      </c>
      <c r="G21" s="74">
        <v>0.14000000000000001</v>
      </c>
      <c r="H21" s="74">
        <v>0.08</v>
      </c>
      <c r="I21" s="74">
        <v>0.3</v>
      </c>
      <c r="J21" s="80">
        <v>0.06</v>
      </c>
      <c r="K21" s="21">
        <f t="shared" si="8"/>
        <v>95.615589742629268</v>
      </c>
      <c r="L21" s="22">
        <f t="shared" si="9"/>
        <v>2.2993079584775082</v>
      </c>
      <c r="M21" s="27">
        <f t="shared" si="10"/>
        <v>1.321285140562249</v>
      </c>
      <c r="N21" s="144">
        <v>9.24</v>
      </c>
      <c r="O21" s="145">
        <v>0.5</v>
      </c>
      <c r="P21" s="146">
        <v>0.5</v>
      </c>
      <c r="Q21" s="77">
        <v>96.45</v>
      </c>
      <c r="R21" s="149">
        <v>2.2799999999999998</v>
      </c>
      <c r="T21" s="148">
        <v>36.520000000000003</v>
      </c>
      <c r="U21" s="148">
        <v>2</v>
      </c>
      <c r="V21" s="148">
        <f t="shared" ref="V21" si="11">((T21-U21)/T21)/((100-U21))*10000</f>
        <v>96.452600755526746</v>
      </c>
    </row>
    <row r="22" spans="1:22" ht="21.95" customHeight="1" x14ac:dyDescent="0.25">
      <c r="A22" s="143">
        <f>'Raw Mill'!A23</f>
        <v>0.83333333333333304</v>
      </c>
      <c r="B22" s="77"/>
      <c r="C22" s="74"/>
      <c r="D22" s="74"/>
      <c r="E22" s="74"/>
      <c r="F22" s="74"/>
      <c r="G22" s="74"/>
      <c r="H22" s="74"/>
      <c r="I22" s="74"/>
      <c r="J22" s="80"/>
      <c r="K22" s="21"/>
      <c r="L22" s="22"/>
      <c r="M22" s="27"/>
      <c r="N22" s="144"/>
      <c r="O22" s="145"/>
      <c r="P22" s="146"/>
      <c r="Q22" s="77"/>
      <c r="R22" s="149"/>
      <c r="T22" s="148"/>
      <c r="U22" s="148"/>
      <c r="V22" s="148"/>
    </row>
    <row r="23" spans="1:22" ht="21.95" customHeight="1" x14ac:dyDescent="0.25">
      <c r="A23" s="143">
        <f>'Raw Mill'!A24</f>
        <v>0.875</v>
      </c>
      <c r="B23" s="77">
        <v>13.17</v>
      </c>
      <c r="C23" s="74">
        <v>3.32</v>
      </c>
      <c r="D23" s="74">
        <v>2.5099999999999998</v>
      </c>
      <c r="E23" s="74">
        <v>40.85</v>
      </c>
      <c r="F23" s="74">
        <v>2.61</v>
      </c>
      <c r="G23" s="74">
        <v>0.14000000000000001</v>
      </c>
      <c r="H23" s="74">
        <v>0.09</v>
      </c>
      <c r="I23" s="74">
        <v>0.31</v>
      </c>
      <c r="J23" s="80">
        <v>0.06</v>
      </c>
      <c r="K23" s="21">
        <f t="shared" si="8"/>
        <v>96.28733933449773</v>
      </c>
      <c r="L23" s="22">
        <f t="shared" si="9"/>
        <v>2.2590051457975986</v>
      </c>
      <c r="M23" s="27">
        <f t="shared" si="10"/>
        <v>1.3227091633466137</v>
      </c>
      <c r="N23" s="144">
        <v>10.57</v>
      </c>
      <c r="O23" s="145">
        <v>0.5</v>
      </c>
      <c r="P23" s="146">
        <v>0.5</v>
      </c>
      <c r="Q23" s="77"/>
      <c r="R23" s="149"/>
      <c r="T23" s="148"/>
      <c r="U23" s="148"/>
      <c r="V23" s="148"/>
    </row>
    <row r="24" spans="1:22" ht="21.95" customHeight="1" x14ac:dyDescent="0.25">
      <c r="A24" s="143">
        <f>'Raw Mill'!A25</f>
        <v>0.91666666666666696</v>
      </c>
      <c r="B24" s="77"/>
      <c r="C24" s="74"/>
      <c r="D24" s="74"/>
      <c r="E24" s="74"/>
      <c r="F24" s="74"/>
      <c r="G24" s="74"/>
      <c r="H24" s="74"/>
      <c r="I24" s="74"/>
      <c r="J24" s="80"/>
      <c r="K24" s="21"/>
      <c r="L24" s="22"/>
      <c r="M24" s="27"/>
      <c r="N24" s="144"/>
      <c r="O24" s="145"/>
      <c r="P24" s="146"/>
      <c r="Q24" s="77"/>
      <c r="R24" s="149"/>
      <c r="T24" s="148"/>
      <c r="U24" s="148"/>
      <c r="V24" s="148"/>
    </row>
    <row r="25" spans="1:22" ht="21.95" customHeight="1" x14ac:dyDescent="0.25">
      <c r="A25" s="143">
        <f>'Raw Mill'!A26</f>
        <v>0.95833333333333304</v>
      </c>
      <c r="B25" s="77">
        <v>13.26</v>
      </c>
      <c r="C25" s="74">
        <v>3.33</v>
      </c>
      <c r="D25" s="74">
        <v>2.5</v>
      </c>
      <c r="E25" s="74">
        <v>40.96</v>
      </c>
      <c r="F25" s="74">
        <v>2.5499999999999998</v>
      </c>
      <c r="G25" s="74">
        <v>0.12</v>
      </c>
      <c r="H25" s="74">
        <v>0.08</v>
      </c>
      <c r="I25" s="74">
        <v>0.3</v>
      </c>
      <c r="J25" s="80">
        <v>0.06</v>
      </c>
      <c r="K25" s="21">
        <f t="shared" si="8"/>
        <v>95.964613048938205</v>
      </c>
      <c r="L25" s="22">
        <f t="shared" si="9"/>
        <v>2.2744425385934819</v>
      </c>
      <c r="M25" s="27">
        <f t="shared" si="10"/>
        <v>1.3320000000000001</v>
      </c>
      <c r="N25" s="144">
        <v>9.44</v>
      </c>
      <c r="O25" s="145">
        <v>0.5</v>
      </c>
      <c r="P25" s="146">
        <v>0.5</v>
      </c>
      <c r="Q25" s="77"/>
      <c r="R25" s="149"/>
      <c r="T25" s="148"/>
      <c r="U25" s="148"/>
      <c r="V25" s="148"/>
    </row>
    <row r="26" spans="1:22" ht="21.95" customHeight="1" thickBot="1" x14ac:dyDescent="0.3">
      <c r="A26" s="150">
        <f>'Raw Mill'!A27</f>
        <v>1</v>
      </c>
      <c r="B26" s="90"/>
      <c r="C26" s="151"/>
      <c r="D26" s="151"/>
      <c r="E26" s="151"/>
      <c r="F26" s="151"/>
      <c r="G26" s="151"/>
      <c r="H26" s="151"/>
      <c r="I26" s="151"/>
      <c r="J26" s="152"/>
      <c r="K26" s="24"/>
      <c r="L26" s="25"/>
      <c r="M26" s="28"/>
      <c r="N26" s="153"/>
      <c r="O26" s="154"/>
      <c r="P26" s="155"/>
      <c r="Q26" s="90"/>
      <c r="R26" s="156"/>
      <c r="T26" s="157"/>
      <c r="U26" s="157"/>
      <c r="V26" s="157"/>
    </row>
    <row r="27" spans="1:22" s="168" customFormat="1" ht="21.95" customHeight="1" thickTop="1" thickBot="1" x14ac:dyDescent="0.3">
      <c r="A27" s="158" t="s">
        <v>10</v>
      </c>
      <c r="B27" s="159">
        <f>AVERAGE(B3:B26)</f>
        <v>13.196666666666665</v>
      </c>
      <c r="C27" s="160">
        <f t="shared" ref="C27:J27" si="12">AVERAGE(C3:C26)</f>
        <v>3.3350000000000004</v>
      </c>
      <c r="D27" s="160">
        <f t="shared" si="12"/>
        <v>2.5033333333333334</v>
      </c>
      <c r="E27" s="160">
        <f t="shared" si="12"/>
        <v>40.922499999999999</v>
      </c>
      <c r="F27" s="160">
        <f t="shared" si="12"/>
        <v>2.5558333333333327</v>
      </c>
      <c r="G27" s="160">
        <f t="shared" si="12"/>
        <v>0.11916666666666668</v>
      </c>
      <c r="H27" s="160">
        <f t="shared" si="12"/>
        <v>8.0833333333333326E-2</v>
      </c>
      <c r="I27" s="160">
        <f t="shared" si="12"/>
        <v>0.30416666666666664</v>
      </c>
      <c r="J27" s="161">
        <f t="shared" si="12"/>
        <v>6.0000000000000019E-2</v>
      </c>
      <c r="K27" s="162">
        <f>E27/(2.8*B27+1.18*C27+0.65*D27)*100</f>
        <v>96.258489533430463</v>
      </c>
      <c r="L27" s="160">
        <f>B27/(C27+D27)</f>
        <v>2.2603482729089346</v>
      </c>
      <c r="M27" s="163">
        <f>C27/D27</f>
        <v>1.3322237017310254</v>
      </c>
      <c r="N27" s="164">
        <f t="shared" ref="N27" si="13">AVERAGE(N3:N26)</f>
        <v>9.9241666666666664</v>
      </c>
      <c r="O27" s="165"/>
      <c r="P27" s="166"/>
      <c r="Q27" s="162">
        <f t="shared" ref="Q27:R27" si="14">AVERAGE(Q3:Q26)</f>
        <v>96.089999999999989</v>
      </c>
      <c r="R27" s="167">
        <f t="shared" si="14"/>
        <v>2.31</v>
      </c>
      <c r="T27" s="169">
        <f t="shared" ref="T27:V27" si="15">AVERAGE(T3:T26)</f>
        <v>36.576666666666675</v>
      </c>
      <c r="U27" s="169">
        <f t="shared" si="15"/>
        <v>2.2033333333333336</v>
      </c>
      <c r="V27" s="169">
        <f t="shared" si="15"/>
        <v>96.088679474544861</v>
      </c>
    </row>
    <row r="28" spans="1:22" ht="21.95" customHeight="1" x14ac:dyDescent="0.25">
      <c r="A28" s="100" t="s">
        <v>43</v>
      </c>
      <c r="B28" s="101">
        <f>MIN(B3:B26)</f>
        <v>13.08</v>
      </c>
      <c r="C28" s="102">
        <f t="shared" ref="C28:R28" si="16">MIN(C3:C26)</f>
        <v>3.29</v>
      </c>
      <c r="D28" s="102">
        <f t="shared" si="16"/>
        <v>2.46</v>
      </c>
      <c r="E28" s="102">
        <f t="shared" si="16"/>
        <v>40.840000000000003</v>
      </c>
      <c r="F28" s="102">
        <f t="shared" si="16"/>
        <v>2.5</v>
      </c>
      <c r="G28" s="102">
        <f t="shared" si="16"/>
        <v>0.11</v>
      </c>
      <c r="H28" s="102">
        <f t="shared" si="16"/>
        <v>0.08</v>
      </c>
      <c r="I28" s="102">
        <f t="shared" si="16"/>
        <v>0.3</v>
      </c>
      <c r="J28" s="103">
        <f t="shared" si="16"/>
        <v>0.06</v>
      </c>
      <c r="K28" s="101">
        <f t="shared" si="16"/>
        <v>95.615589742629268</v>
      </c>
      <c r="L28" s="102">
        <f t="shared" si="16"/>
        <v>2.2282793867120958</v>
      </c>
      <c r="M28" s="103">
        <f t="shared" si="16"/>
        <v>1.3162055335968381</v>
      </c>
      <c r="N28" s="170">
        <f t="shared" si="16"/>
        <v>9.24</v>
      </c>
      <c r="O28" s="171"/>
      <c r="P28" s="172"/>
      <c r="Q28" s="171">
        <f t="shared" si="16"/>
        <v>95.05</v>
      </c>
      <c r="R28" s="173">
        <f t="shared" si="16"/>
        <v>2.2799999999999998</v>
      </c>
      <c r="T28" s="174">
        <f t="shared" ref="T28:V28" si="17">MIN(T3:T26)</f>
        <v>36.520000000000003</v>
      </c>
      <c r="U28" s="174">
        <f t="shared" si="17"/>
        <v>1.84</v>
      </c>
      <c r="V28" s="174">
        <f t="shared" si="17"/>
        <v>95.047943027333574</v>
      </c>
    </row>
    <row r="29" spans="1:22" ht="21.95" customHeight="1" x14ac:dyDescent="0.25">
      <c r="A29" s="108" t="s">
        <v>44</v>
      </c>
      <c r="B29" s="21">
        <f>MAX(B3:B26)</f>
        <v>13.3</v>
      </c>
      <c r="C29" s="22">
        <f t="shared" ref="C29:R29" si="18">MAX(C3:C26)</f>
        <v>3.37</v>
      </c>
      <c r="D29" s="22">
        <f t="shared" si="18"/>
        <v>2.5299999999999998</v>
      </c>
      <c r="E29" s="22">
        <f t="shared" si="18"/>
        <v>41.04</v>
      </c>
      <c r="F29" s="22">
        <f t="shared" si="18"/>
        <v>2.61</v>
      </c>
      <c r="G29" s="22">
        <f t="shared" si="18"/>
        <v>0.14000000000000001</v>
      </c>
      <c r="H29" s="22">
        <f t="shared" si="18"/>
        <v>0.09</v>
      </c>
      <c r="I29" s="22">
        <f t="shared" si="18"/>
        <v>0.31</v>
      </c>
      <c r="J29" s="23">
        <f t="shared" si="18"/>
        <v>0.06</v>
      </c>
      <c r="K29" s="21">
        <f t="shared" si="18"/>
        <v>96.826084999419564</v>
      </c>
      <c r="L29" s="22">
        <f t="shared" si="18"/>
        <v>2.3090277777777781</v>
      </c>
      <c r="M29" s="23">
        <f t="shared" si="18"/>
        <v>1.3522267206477732</v>
      </c>
      <c r="N29" s="175">
        <f t="shared" si="18"/>
        <v>10.97</v>
      </c>
      <c r="O29" s="176"/>
      <c r="P29" s="177"/>
      <c r="Q29" s="176">
        <f t="shared" si="18"/>
        <v>96.77</v>
      </c>
      <c r="R29" s="178">
        <f t="shared" si="18"/>
        <v>2.35</v>
      </c>
      <c r="T29" s="179">
        <f t="shared" ref="T29:V29" si="19">MAX(T3:T26)</f>
        <v>36.69</v>
      </c>
      <c r="U29" s="179">
        <f t="shared" si="19"/>
        <v>2.77</v>
      </c>
      <c r="V29" s="179">
        <f t="shared" si="19"/>
        <v>96.765494640774264</v>
      </c>
    </row>
    <row r="30" spans="1:22" ht="21.95" customHeight="1" thickBot="1" x14ac:dyDescent="0.3">
      <c r="A30" s="113" t="s">
        <v>45</v>
      </c>
      <c r="B30" s="114">
        <f>STDEV(B3:B26)</f>
        <v>6.786796450506373E-2</v>
      </c>
      <c r="C30" s="115">
        <f t="shared" ref="C30:R30" si="20">STDEV(C3:C26)</f>
        <v>2.3159525823376385E-2</v>
      </c>
      <c r="D30" s="115">
        <f t="shared" si="20"/>
        <v>2.2292817160908411E-2</v>
      </c>
      <c r="E30" s="115">
        <f t="shared" si="20"/>
        <v>6.3263518138597513E-2</v>
      </c>
      <c r="F30" s="115">
        <f t="shared" si="20"/>
        <v>3.1466673086799561E-2</v>
      </c>
      <c r="G30" s="115">
        <f t="shared" si="20"/>
        <v>1.083624669450832E-2</v>
      </c>
      <c r="H30" s="115">
        <f t="shared" si="20"/>
        <v>2.8867513459481273E-3</v>
      </c>
      <c r="I30" s="115">
        <f t="shared" si="20"/>
        <v>5.1492865054443768E-3</v>
      </c>
      <c r="J30" s="116">
        <f t="shared" si="20"/>
        <v>2.1742314942914129E-17</v>
      </c>
      <c r="K30" s="114">
        <f t="shared" si="20"/>
        <v>0.35308366420914428</v>
      </c>
      <c r="L30" s="115">
        <f t="shared" si="20"/>
        <v>2.4976288908669975E-2</v>
      </c>
      <c r="M30" s="116">
        <f t="shared" si="20"/>
        <v>1.1915496659412573E-2</v>
      </c>
      <c r="N30" s="180">
        <f t="shared" si="20"/>
        <v>0.47427376699603174</v>
      </c>
      <c r="O30" s="181"/>
      <c r="P30" s="182"/>
      <c r="Q30" s="181">
        <f t="shared" si="20"/>
        <v>0.91476773008234247</v>
      </c>
      <c r="R30" s="183">
        <f t="shared" si="20"/>
        <v>3.605551275464005E-2</v>
      </c>
      <c r="T30" s="184">
        <f t="shared" ref="T30:V30" si="21">STDEV(T3:T26)</f>
        <v>9.8149545762233267E-2</v>
      </c>
      <c r="U30" s="184">
        <f t="shared" si="21"/>
        <v>0.49722563623905491</v>
      </c>
      <c r="V30" s="184">
        <f t="shared" si="21"/>
        <v>0.91478134560768209</v>
      </c>
    </row>
  </sheetData>
  <mergeCells count="8">
    <mergeCell ref="B1:J1"/>
    <mergeCell ref="K1:M1"/>
    <mergeCell ref="O1:P1"/>
    <mergeCell ref="N1:N2"/>
    <mergeCell ref="U1:U2"/>
    <mergeCell ref="V1:V2"/>
    <mergeCell ref="T1:T2"/>
    <mergeCell ref="A1:A2"/>
  </mergeCells>
  <printOptions horizontalCentered="1"/>
  <pageMargins left="0" right="0" top="0" bottom="0" header="0.3" footer="0.3"/>
  <pageSetup paperSize="9" scale="7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Z31"/>
  <sheetViews>
    <sheetView topLeftCell="A19" zoomScale="71" zoomScaleNormal="71" workbookViewId="0">
      <selection sqref="A1:XFD1048576"/>
    </sheetView>
  </sheetViews>
  <sheetFormatPr defaultRowHeight="15" x14ac:dyDescent="0.25"/>
  <cols>
    <col min="1" max="1" width="9.5703125" style="54" customWidth="1"/>
    <col min="2" max="2" width="10.140625" style="54" customWidth="1"/>
    <col min="3" max="12" width="9.28515625" style="54" customWidth="1"/>
    <col min="13" max="13" width="9.28515625" style="54" hidden="1" customWidth="1"/>
    <col min="14" max="14" width="9.140625" style="54" hidden="1" customWidth="1"/>
    <col min="15" max="17" width="9.140625" style="54" customWidth="1"/>
    <col min="18" max="22" width="9.5703125" style="54" customWidth="1"/>
    <col min="23" max="23" width="9.42578125" style="54" customWidth="1"/>
    <col min="24" max="24" width="25.28515625" style="54" customWidth="1"/>
    <col min="25" max="25" width="0.85546875" style="54" customWidth="1"/>
    <col min="26" max="26" width="12.85546875" style="54" hidden="1" customWidth="1"/>
    <col min="27" max="16384" width="9.140625" style="54"/>
  </cols>
  <sheetData>
    <row r="1" spans="1:26" ht="29.25" customHeight="1" x14ac:dyDescent="0.25">
      <c r="A1" s="185" t="s">
        <v>7</v>
      </c>
      <c r="B1" s="47" t="s">
        <v>22</v>
      </c>
      <c r="C1" s="50" t="s">
        <v>21</v>
      </c>
      <c r="D1" s="46" t="s">
        <v>17</v>
      </c>
      <c r="E1" s="47"/>
      <c r="F1" s="47"/>
      <c r="G1" s="47"/>
      <c r="H1" s="47"/>
      <c r="I1" s="47"/>
      <c r="J1" s="47"/>
      <c r="K1" s="47"/>
      <c r="L1" s="48"/>
      <c r="M1" s="186" t="s">
        <v>63</v>
      </c>
      <c r="N1" s="187" t="s">
        <v>27</v>
      </c>
      <c r="O1" s="46" t="s">
        <v>16</v>
      </c>
      <c r="P1" s="47"/>
      <c r="Q1" s="48"/>
      <c r="R1" s="46" t="s">
        <v>18</v>
      </c>
      <c r="S1" s="47"/>
      <c r="T1" s="47"/>
      <c r="U1" s="48"/>
      <c r="V1" s="188"/>
      <c r="W1" s="46" t="s">
        <v>23</v>
      </c>
      <c r="X1" s="189" t="s">
        <v>8</v>
      </c>
      <c r="Z1" s="190" t="s">
        <v>48</v>
      </c>
    </row>
    <row r="2" spans="1:26" ht="29.25" customHeight="1" thickBot="1" x14ac:dyDescent="0.3">
      <c r="A2" s="191"/>
      <c r="B2" s="192"/>
      <c r="C2" s="193"/>
      <c r="D2" s="56" t="s">
        <v>29</v>
      </c>
      <c r="E2" s="57" t="s">
        <v>30</v>
      </c>
      <c r="F2" s="57" t="s">
        <v>31</v>
      </c>
      <c r="G2" s="57" t="s">
        <v>1</v>
      </c>
      <c r="H2" s="57" t="s">
        <v>2</v>
      </c>
      <c r="I2" s="57" t="s">
        <v>32</v>
      </c>
      <c r="J2" s="57" t="s">
        <v>33</v>
      </c>
      <c r="K2" s="57" t="s">
        <v>34</v>
      </c>
      <c r="L2" s="58" t="s">
        <v>3</v>
      </c>
      <c r="M2" s="194"/>
      <c r="N2" s="195"/>
      <c r="O2" s="196" t="s">
        <v>4</v>
      </c>
      <c r="P2" s="197" t="s">
        <v>5</v>
      </c>
      <c r="Q2" s="198" t="s">
        <v>6</v>
      </c>
      <c r="R2" s="56" t="s">
        <v>35</v>
      </c>
      <c r="S2" s="57" t="s">
        <v>36</v>
      </c>
      <c r="T2" s="57" t="s">
        <v>37</v>
      </c>
      <c r="U2" s="58" t="s">
        <v>38</v>
      </c>
      <c r="V2" s="58" t="s">
        <v>64</v>
      </c>
      <c r="W2" s="199"/>
      <c r="X2" s="200"/>
      <c r="Z2" s="201"/>
    </row>
    <row r="3" spans="1:26" ht="48" customHeight="1" thickBot="1" x14ac:dyDescent="0.3">
      <c r="A3" s="62" t="s">
        <v>57</v>
      </c>
      <c r="B3" s="202" t="s">
        <v>66</v>
      </c>
      <c r="C3" s="203" t="s">
        <v>65</v>
      </c>
      <c r="D3" s="63"/>
      <c r="E3" s="64"/>
      <c r="F3" s="64"/>
      <c r="G3" s="64"/>
      <c r="H3" s="66" t="s">
        <v>67</v>
      </c>
      <c r="I3" s="64"/>
      <c r="J3" s="64"/>
      <c r="K3" s="64"/>
      <c r="L3" s="65"/>
      <c r="M3" s="65"/>
      <c r="N3" s="204"/>
      <c r="O3" s="67" t="s">
        <v>76</v>
      </c>
      <c r="P3" s="66" t="s">
        <v>68</v>
      </c>
      <c r="Q3" s="68" t="s">
        <v>77</v>
      </c>
      <c r="R3" s="67" t="s">
        <v>79</v>
      </c>
      <c r="S3" s="64"/>
      <c r="T3" s="66" t="s">
        <v>78</v>
      </c>
      <c r="U3" s="65"/>
      <c r="V3" s="65"/>
      <c r="W3" s="205"/>
      <c r="X3" s="206"/>
      <c r="Z3" s="207"/>
    </row>
    <row r="4" spans="1:26" ht="26.1" customHeight="1" thickTop="1" x14ac:dyDescent="0.25">
      <c r="A4" s="208">
        <f>'Raw Mill'!A4</f>
        <v>4.1666666666666664E-2</v>
      </c>
      <c r="B4" s="209">
        <v>1314</v>
      </c>
      <c r="C4" s="210"/>
      <c r="D4" s="71"/>
      <c r="E4" s="35"/>
      <c r="F4" s="35"/>
      <c r="G4" s="35"/>
      <c r="H4" s="35"/>
      <c r="I4" s="35"/>
      <c r="J4" s="211"/>
      <c r="K4" s="35"/>
      <c r="L4" s="36"/>
      <c r="M4" s="36"/>
      <c r="N4" s="39"/>
      <c r="O4" s="21" t="str">
        <f>IF(D4="","",100*(G4-0.7*I4)/(2.8*D4+1.18*E4+0.65*F4))</f>
        <v/>
      </c>
      <c r="P4" s="22" t="str">
        <f>IF(D4="","",D4/(E4+F4))</f>
        <v/>
      </c>
      <c r="Q4" s="23" t="str">
        <f>IF(E4="","",E4/F4)</f>
        <v/>
      </c>
      <c r="R4" s="21" t="str">
        <f>IF(D4="","",4.07*G4-7.6*D4-6.72*E4-1.43*F4-2.852*I4)</f>
        <v/>
      </c>
      <c r="S4" s="22" t="str">
        <f>IF(D4="","",2.87*D4-0.7544*R4)</f>
        <v/>
      </c>
      <c r="T4" s="22" t="str">
        <f>IF(E4="","",2.65*E4-1.692*F4)</f>
        <v/>
      </c>
      <c r="U4" s="23" t="str">
        <f>IF(F4="","",3.043*F4)</f>
        <v/>
      </c>
      <c r="V4" s="212" t="str">
        <f>IF(T4="","",(1.13*T4)+(1.35*U4)+H4+M4)</f>
        <v/>
      </c>
      <c r="W4" s="213" t="s">
        <v>81</v>
      </c>
      <c r="X4" s="214"/>
      <c r="Z4" s="32"/>
    </row>
    <row r="5" spans="1:26" ht="26.1" customHeight="1" x14ac:dyDescent="0.25">
      <c r="A5" s="208">
        <f>'Raw Mill'!A5</f>
        <v>8.3333333333333301E-2</v>
      </c>
      <c r="B5" s="81">
        <v>1336</v>
      </c>
      <c r="C5" s="215">
        <v>1.76</v>
      </c>
      <c r="D5" s="77">
        <v>20.96</v>
      </c>
      <c r="E5" s="74">
        <v>5.34</v>
      </c>
      <c r="F5" s="74">
        <v>3.88</v>
      </c>
      <c r="G5" s="74">
        <v>63.5</v>
      </c>
      <c r="H5" s="74">
        <v>4.08</v>
      </c>
      <c r="I5" s="74">
        <v>0.86</v>
      </c>
      <c r="J5" s="74">
        <v>0.14000000000000001</v>
      </c>
      <c r="K5" s="74">
        <v>0.45</v>
      </c>
      <c r="L5" s="80">
        <v>0.02</v>
      </c>
      <c r="M5" s="216">
        <f>IF(K5=0,"",(0.658*K5+J5))</f>
        <v>0.43610000000000004</v>
      </c>
      <c r="N5" s="20">
        <f t="shared" ref="N5:N7" si="0">IF(D5="","",SUM(D5:L5))</f>
        <v>99.23</v>
      </c>
      <c r="O5" s="21">
        <f>IF(D5="","",100*(G5-0.7*I5)/(2.8*D5+1.18*E5+0.65*F5))</f>
        <v>93.166763440732794</v>
      </c>
      <c r="P5" s="22">
        <f>IF(D5="","",D5/(E5+F5))</f>
        <v>2.2733188720173541</v>
      </c>
      <c r="Q5" s="23">
        <f>IF(E5="","",E5/F5)</f>
        <v>1.3762886597938144</v>
      </c>
      <c r="R5" s="21">
        <f>IF(D5="","",4.07*G5-7.6*D5-6.72*E5-1.43*F5-2.852*I5)</f>
        <v>55.263080000000002</v>
      </c>
      <c r="S5" s="22">
        <f>IF(D5="","",2.87*D5-0.7544*R5)</f>
        <v>18.464732448000007</v>
      </c>
      <c r="T5" s="22">
        <f>IF(E5="","",2.65*E5-1.692*F5)</f>
        <v>7.5860400000000006</v>
      </c>
      <c r="U5" s="23">
        <f>IF(F5="","",3.043*F5)</f>
        <v>11.806840000000001</v>
      </c>
      <c r="V5" s="212">
        <f>IF(T5="","",(1.13*T5)+(1.35*U5)+H5+M5)</f>
        <v>29.027559200000002</v>
      </c>
      <c r="W5" s="217" t="s">
        <v>81</v>
      </c>
      <c r="X5" s="218" t="s">
        <v>83</v>
      </c>
      <c r="Z5" s="32">
        <f>IF(B5="","",4.07*(G5-C5)-7.6*D5-6.72*E5-1.43*F5-2.852*I5)</f>
        <v>48.099880000000041</v>
      </c>
    </row>
    <row r="6" spans="1:26" ht="26.1" customHeight="1" x14ac:dyDescent="0.25">
      <c r="A6" s="208">
        <f>'Raw Mill'!A6</f>
        <v>0.125</v>
      </c>
      <c r="B6" s="81">
        <v>1286</v>
      </c>
      <c r="C6" s="215"/>
      <c r="D6" s="77"/>
      <c r="E6" s="74"/>
      <c r="F6" s="74"/>
      <c r="G6" s="74"/>
      <c r="H6" s="74"/>
      <c r="I6" s="74"/>
      <c r="J6" s="74"/>
      <c r="K6" s="74"/>
      <c r="L6" s="80"/>
      <c r="M6" s="80"/>
      <c r="N6" s="20" t="str">
        <f t="shared" si="0"/>
        <v/>
      </c>
      <c r="O6" s="21"/>
      <c r="P6" s="22"/>
      <c r="Q6" s="23"/>
      <c r="R6" s="21" t="str">
        <f t="shared" ref="R6:R27" si="1">IF(D6="","",4.07*G6-7.6*D6-6.72*E6-1.43*F6-2.852*I6)</f>
        <v/>
      </c>
      <c r="S6" s="22"/>
      <c r="T6" s="22"/>
      <c r="U6" s="23"/>
      <c r="V6" s="212" t="str">
        <f t="shared" ref="V6:V27" si="2">IF(T6="","",(1.13*T6)+(1.35*U6)+H6+M6)</f>
        <v/>
      </c>
      <c r="W6" s="217"/>
      <c r="X6" s="218"/>
      <c r="Z6" s="32"/>
    </row>
    <row r="7" spans="1:26" ht="26.1" customHeight="1" x14ac:dyDescent="0.25">
      <c r="A7" s="208">
        <f>'Raw Mill'!A7</f>
        <v>0.16666666666666699</v>
      </c>
      <c r="B7" s="81">
        <v>1306</v>
      </c>
      <c r="C7" s="215">
        <v>1.84</v>
      </c>
      <c r="D7" s="77">
        <v>21.14</v>
      </c>
      <c r="E7" s="74">
        <v>5.29</v>
      </c>
      <c r="F7" s="74">
        <v>3.91</v>
      </c>
      <c r="G7" s="74">
        <v>63.76</v>
      </c>
      <c r="H7" s="74">
        <v>4.0599999999999996</v>
      </c>
      <c r="I7" s="74">
        <v>0.78</v>
      </c>
      <c r="J7" s="74">
        <v>0.14000000000000001</v>
      </c>
      <c r="K7" s="74">
        <v>0.45</v>
      </c>
      <c r="L7" s="80">
        <v>0.01</v>
      </c>
      <c r="M7" s="216">
        <f>IF(K7=0,"",(0.658*K7+J7))</f>
        <v>0.43610000000000004</v>
      </c>
      <c r="N7" s="20">
        <f t="shared" si="0"/>
        <v>99.54</v>
      </c>
      <c r="O7" s="21">
        <f>IF(D7="","",100*(G7-0.7*I7)/(2.8*D7+1.18*E7+0.65*F7))</f>
        <v>92.994996741482609</v>
      </c>
      <c r="P7" s="22">
        <f>IF(D7="","",D7/(E7+F7))</f>
        <v>2.2978260869565221</v>
      </c>
      <c r="Q7" s="23">
        <f>IF(E7="","",E7/F7)</f>
        <v>1.3529411764705881</v>
      </c>
      <c r="R7" s="21">
        <f t="shared" si="1"/>
        <v>55.474540000000005</v>
      </c>
      <c r="S7" s="22">
        <f>IF(D7="","",2.87*D7-0.7544*R7)</f>
        <v>18.821807024000002</v>
      </c>
      <c r="T7" s="22">
        <f>IF(E7="","",2.65*E7-1.692*F7)</f>
        <v>7.4027799999999999</v>
      </c>
      <c r="U7" s="23">
        <f>IF(F7="","",3.043*F7)</f>
        <v>11.898130000000002</v>
      </c>
      <c r="V7" s="212">
        <f t="shared" si="2"/>
        <v>28.923716900000002</v>
      </c>
      <c r="W7" s="217" t="s">
        <v>81</v>
      </c>
      <c r="X7" s="218"/>
      <c r="Z7" s="32">
        <f t="shared" ref="Z7:Z27" si="3">IF(B7="","",4.07*(G7-C7)-7.6*D7-6.72*E7-1.43*F7-2.852*I7)</f>
        <v>47.985740000000007</v>
      </c>
    </row>
    <row r="8" spans="1:26" ht="26.1" customHeight="1" x14ac:dyDescent="0.25">
      <c r="A8" s="208">
        <f>'Raw Mill'!A8</f>
        <v>0.20833333333333301</v>
      </c>
      <c r="B8" s="81">
        <v>1324</v>
      </c>
      <c r="C8" s="215"/>
      <c r="D8" s="77"/>
      <c r="E8" s="74"/>
      <c r="F8" s="74"/>
      <c r="G8" s="74"/>
      <c r="H8" s="74"/>
      <c r="I8" s="74"/>
      <c r="J8" s="74"/>
      <c r="K8" s="74"/>
      <c r="L8" s="80"/>
      <c r="M8" s="80"/>
      <c r="N8" s="20"/>
      <c r="O8" s="21"/>
      <c r="P8" s="22"/>
      <c r="Q8" s="23"/>
      <c r="R8" s="21" t="str">
        <f t="shared" si="1"/>
        <v/>
      </c>
      <c r="S8" s="22"/>
      <c r="T8" s="22"/>
      <c r="U8" s="23"/>
      <c r="V8" s="212" t="str">
        <f t="shared" si="2"/>
        <v/>
      </c>
      <c r="W8" s="217"/>
      <c r="X8" s="218"/>
      <c r="Z8" s="32"/>
    </row>
    <row r="9" spans="1:26" ht="26.1" customHeight="1" x14ac:dyDescent="0.25">
      <c r="A9" s="208">
        <f>'Raw Mill'!A9</f>
        <v>0.25</v>
      </c>
      <c r="B9" s="81">
        <v>1312</v>
      </c>
      <c r="C9" s="215">
        <v>1.76</v>
      </c>
      <c r="D9" s="77">
        <v>21.12</v>
      </c>
      <c r="E9" s="74">
        <v>5.32</v>
      </c>
      <c r="F9" s="74">
        <v>3.87</v>
      </c>
      <c r="G9" s="74">
        <v>63.82</v>
      </c>
      <c r="H9" s="74">
        <v>4.09</v>
      </c>
      <c r="I9" s="74">
        <v>0.78</v>
      </c>
      <c r="J9" s="74">
        <v>0.14000000000000001</v>
      </c>
      <c r="K9" s="74">
        <v>0.44</v>
      </c>
      <c r="L9" s="80">
        <v>0.01</v>
      </c>
      <c r="M9" s="216">
        <f>IF(K9=0,"",(0.658*K9+J9))</f>
        <v>0.42952000000000001</v>
      </c>
      <c r="N9" s="20">
        <f t="shared" ref="N9:N27" si="4">IF(D9="","",SUM(D9:L9))</f>
        <v>99.59</v>
      </c>
      <c r="O9" s="21">
        <f>IF(D9="","",100*(G9-0.7*I9)/(2.8*D9+1.18*E9+0.65*F9))</f>
        <v>93.1471195702578</v>
      </c>
      <c r="P9" s="22">
        <f>IF(D9="","",D9/(E9+F9))</f>
        <v>2.2981501632208921</v>
      </c>
      <c r="Q9" s="23">
        <f>IF(E9="","",E9/F9)</f>
        <v>1.3746770025839794</v>
      </c>
      <c r="R9" s="21">
        <f t="shared" si="1"/>
        <v>55.726340000000029</v>
      </c>
      <c r="S9" s="22">
        <f>IF(D9="","",2.87*D9-0.7544*R9)</f>
        <v>18.574449103999982</v>
      </c>
      <c r="T9" s="22">
        <f>IF(E9="","",2.65*E9-1.692*F9)</f>
        <v>7.5499600000000004</v>
      </c>
      <c r="U9" s="23">
        <f>IF(F9="","",3.043*F9)</f>
        <v>11.77641</v>
      </c>
      <c r="V9" s="212">
        <f t="shared" si="2"/>
        <v>28.949128300000002</v>
      </c>
      <c r="W9" s="217">
        <v>2</v>
      </c>
      <c r="X9" s="218"/>
      <c r="Z9" s="32">
        <f t="shared" si="3"/>
        <v>48.56314000000004</v>
      </c>
    </row>
    <row r="10" spans="1:26" ht="26.1" customHeight="1" x14ac:dyDescent="0.25">
      <c r="A10" s="208">
        <f>'Raw Mill'!A10</f>
        <v>0.29166666666666702</v>
      </c>
      <c r="B10" s="81">
        <v>1300</v>
      </c>
      <c r="C10" s="215"/>
      <c r="D10" s="77"/>
      <c r="E10" s="74"/>
      <c r="F10" s="74"/>
      <c r="G10" s="74"/>
      <c r="H10" s="74"/>
      <c r="I10" s="74"/>
      <c r="J10" s="74"/>
      <c r="K10" s="74"/>
      <c r="L10" s="80"/>
      <c r="M10" s="80"/>
      <c r="N10" s="20" t="str">
        <f t="shared" si="4"/>
        <v/>
      </c>
      <c r="O10" s="21"/>
      <c r="P10" s="22"/>
      <c r="Q10" s="23"/>
      <c r="R10" s="21" t="str">
        <f t="shared" si="1"/>
        <v/>
      </c>
      <c r="S10" s="22"/>
      <c r="T10" s="22"/>
      <c r="U10" s="23"/>
      <c r="V10" s="212" t="str">
        <f t="shared" si="2"/>
        <v/>
      </c>
      <c r="W10" s="217"/>
      <c r="X10" s="218"/>
      <c r="Z10" s="32"/>
    </row>
    <row r="11" spans="1:26" ht="26.1" customHeight="1" x14ac:dyDescent="0.25">
      <c r="A11" s="208">
        <f>'Raw Mill'!A11</f>
        <v>0.33333333333333298</v>
      </c>
      <c r="B11" s="81">
        <v>1280</v>
      </c>
      <c r="C11" s="215">
        <v>1.68</v>
      </c>
      <c r="D11" s="77">
        <v>21.05</v>
      </c>
      <c r="E11" s="74">
        <v>5.19</v>
      </c>
      <c r="F11" s="74">
        <v>3.87</v>
      </c>
      <c r="G11" s="74">
        <v>63.35</v>
      </c>
      <c r="H11" s="74">
        <v>4.03</v>
      </c>
      <c r="I11" s="74">
        <v>0.78</v>
      </c>
      <c r="J11" s="74">
        <v>0.14000000000000001</v>
      </c>
      <c r="K11" s="74">
        <v>0.43</v>
      </c>
      <c r="L11" s="80">
        <v>0.01</v>
      </c>
      <c r="M11" s="216">
        <f>IF(K11=0,"",(0.658*K11+J11))</f>
        <v>0.42294000000000004</v>
      </c>
      <c r="N11" s="20">
        <f t="shared" si="4"/>
        <v>98.850000000000023</v>
      </c>
      <c r="O11" s="21">
        <f>IF(D11="","",100*(G11-0.7*I11)/(2.8*D11+1.18*E11+0.65*F11))</f>
        <v>92.933232908698912</v>
      </c>
      <c r="P11" s="22">
        <f>IF(D11="","",D11/(E11+F11))</f>
        <v>2.3233995584988962</v>
      </c>
      <c r="Q11" s="23">
        <f>IF(E11="","",E11/F11)</f>
        <v>1.3410852713178296</v>
      </c>
      <c r="R11" s="21">
        <f t="shared" si="1"/>
        <v>55.219040000000057</v>
      </c>
      <c r="S11" s="22">
        <f>IF(D11="","",2.87*D11-0.7544*R11)</f>
        <v>18.756256223999969</v>
      </c>
      <c r="T11" s="22">
        <f>IF(E11="","",2.65*E11-1.692*F11)</f>
        <v>7.2054600000000004</v>
      </c>
      <c r="U11" s="23">
        <f>IF(F11="","",3.043*F11)</f>
        <v>11.77641</v>
      </c>
      <c r="V11" s="212">
        <f t="shared" si="2"/>
        <v>28.493263300000002</v>
      </c>
      <c r="W11" s="217" t="s">
        <v>81</v>
      </c>
      <c r="X11" s="218"/>
      <c r="Z11" s="32">
        <f t="shared" si="3"/>
        <v>48.381440000000019</v>
      </c>
    </row>
    <row r="12" spans="1:26" ht="26.1" customHeight="1" x14ac:dyDescent="0.25">
      <c r="A12" s="208">
        <f>'Raw Mill'!A12</f>
        <v>0.375</v>
      </c>
      <c r="B12" s="81">
        <v>1296</v>
      </c>
      <c r="C12" s="215"/>
      <c r="D12" s="77"/>
      <c r="E12" s="74"/>
      <c r="F12" s="74"/>
      <c r="G12" s="74"/>
      <c r="H12" s="74"/>
      <c r="I12" s="74"/>
      <c r="J12" s="74"/>
      <c r="K12" s="74"/>
      <c r="L12" s="80"/>
      <c r="M12" s="80"/>
      <c r="N12" s="20" t="str">
        <f t="shared" si="4"/>
        <v/>
      </c>
      <c r="O12" s="21"/>
      <c r="P12" s="22"/>
      <c r="Q12" s="23"/>
      <c r="R12" s="21" t="str">
        <f t="shared" si="1"/>
        <v/>
      </c>
      <c r="S12" s="22"/>
      <c r="T12" s="22"/>
      <c r="U12" s="23"/>
      <c r="V12" s="212" t="str">
        <f t="shared" si="2"/>
        <v/>
      </c>
      <c r="W12" s="217"/>
      <c r="X12" s="218"/>
      <c r="Z12" s="32"/>
    </row>
    <row r="13" spans="1:26" ht="26.1" customHeight="1" x14ac:dyDescent="0.25">
      <c r="A13" s="208">
        <f>'Raw Mill'!A13</f>
        <v>0.41666666666666702</v>
      </c>
      <c r="B13" s="81">
        <v>1310</v>
      </c>
      <c r="C13" s="215">
        <v>1.6</v>
      </c>
      <c r="D13" s="77">
        <v>21</v>
      </c>
      <c r="E13" s="74">
        <v>5.32</v>
      </c>
      <c r="F13" s="74">
        <v>3.89</v>
      </c>
      <c r="G13" s="74">
        <v>63.3</v>
      </c>
      <c r="H13" s="74">
        <v>4.1100000000000003</v>
      </c>
      <c r="I13" s="74">
        <v>0.88</v>
      </c>
      <c r="J13" s="74">
        <v>0.14000000000000001</v>
      </c>
      <c r="K13" s="74">
        <v>0.47</v>
      </c>
      <c r="L13" s="80">
        <v>0.02</v>
      </c>
      <c r="M13" s="216">
        <f>IF(K13=0,"",(0.658*K13+J13))</f>
        <v>0.44925999999999999</v>
      </c>
      <c r="N13" s="20">
        <f t="shared" si="4"/>
        <v>99.129999999999981</v>
      </c>
      <c r="O13" s="21">
        <f>IF(D13="","",100*(G13-0.7*I13)/(2.8*D13+1.18*E13+0.65*F13))</f>
        <v>92.719443955501077</v>
      </c>
      <c r="P13" s="22">
        <f>IF(D13="","",D13/(E13+F13))</f>
        <v>2.2801302931596088</v>
      </c>
      <c r="Q13" s="23">
        <f>IF(E13="","",E13/F13)</f>
        <v>1.3676092544987146</v>
      </c>
      <c r="R13" s="21">
        <f t="shared" si="1"/>
        <v>54.208140000000036</v>
      </c>
      <c r="S13" s="22">
        <f>IF(D13="","",2.87*D13-0.7544*R13)</f>
        <v>19.375379183999975</v>
      </c>
      <c r="T13" s="22">
        <f>IF(E13="","",2.65*E13-1.692*F13)</f>
        <v>7.5161200000000008</v>
      </c>
      <c r="U13" s="23">
        <f>IF(F13="","",3.043*F13)</f>
        <v>11.83727</v>
      </c>
      <c r="V13" s="212">
        <f t="shared" si="2"/>
        <v>29.0327901</v>
      </c>
      <c r="W13" s="217">
        <v>1</v>
      </c>
      <c r="X13" s="218"/>
      <c r="Z13" s="32">
        <f t="shared" si="3"/>
        <v>47.696140000000007</v>
      </c>
    </row>
    <row r="14" spans="1:26" ht="26.1" customHeight="1" x14ac:dyDescent="0.25">
      <c r="A14" s="208">
        <f>'Raw Mill'!A14</f>
        <v>0.45833333333333298</v>
      </c>
      <c r="B14" s="81">
        <v>1284</v>
      </c>
      <c r="C14" s="215"/>
      <c r="D14" s="77"/>
      <c r="E14" s="74"/>
      <c r="F14" s="74"/>
      <c r="G14" s="74"/>
      <c r="H14" s="74"/>
      <c r="I14" s="74"/>
      <c r="J14" s="74"/>
      <c r="K14" s="74"/>
      <c r="L14" s="80"/>
      <c r="M14" s="80"/>
      <c r="N14" s="20" t="str">
        <f t="shared" si="4"/>
        <v/>
      </c>
      <c r="O14" s="21"/>
      <c r="P14" s="22"/>
      <c r="Q14" s="23"/>
      <c r="R14" s="21" t="str">
        <f t="shared" si="1"/>
        <v/>
      </c>
      <c r="S14" s="22"/>
      <c r="T14" s="22"/>
      <c r="U14" s="23"/>
      <c r="V14" s="212" t="str">
        <f t="shared" si="2"/>
        <v/>
      </c>
      <c r="W14" s="217"/>
      <c r="X14" s="218"/>
      <c r="Z14" s="32"/>
    </row>
    <row r="15" spans="1:26" ht="26.1" customHeight="1" x14ac:dyDescent="0.25">
      <c r="A15" s="208">
        <f>'Raw Mill'!A15</f>
        <v>0.5</v>
      </c>
      <c r="B15" s="81">
        <v>1270</v>
      </c>
      <c r="C15" s="215">
        <v>1.68</v>
      </c>
      <c r="D15" s="77">
        <v>21.11</v>
      </c>
      <c r="E15" s="74">
        <v>5.24</v>
      </c>
      <c r="F15" s="74">
        <v>3.81</v>
      </c>
      <c r="G15" s="74">
        <v>63.53</v>
      </c>
      <c r="H15" s="74">
        <v>4.08</v>
      </c>
      <c r="I15" s="74">
        <v>0.81</v>
      </c>
      <c r="J15" s="74">
        <v>0.14000000000000001</v>
      </c>
      <c r="K15" s="74">
        <v>0.45</v>
      </c>
      <c r="L15" s="80">
        <v>0.02</v>
      </c>
      <c r="M15" s="216">
        <f>IF(K15=0,"",(0.658*K15+J15))</f>
        <v>0.43610000000000004</v>
      </c>
      <c r="N15" s="20">
        <f t="shared" si="4"/>
        <v>99.19</v>
      </c>
      <c r="O15" s="21">
        <f>IF(D15="","",100*(G15-0.7*I15)/(2.8*D15+1.18*E15+0.65*F15))</f>
        <v>92.910044165583301</v>
      </c>
      <c r="P15" s="22">
        <f>IF(D15="","",D15/(E15+F15))</f>
        <v>2.3325966850828728</v>
      </c>
      <c r="Q15" s="23">
        <f>IF(E15="","",E15/F15)</f>
        <v>1.3753280839895015</v>
      </c>
      <c r="R15" s="21">
        <f t="shared" si="1"/>
        <v>55.159880000000058</v>
      </c>
      <c r="S15" s="22">
        <f>IF(D15="","",2.87*D15-0.7544*R15)</f>
        <v>18.973086527999961</v>
      </c>
      <c r="T15" s="22">
        <f>IF(E15="","",2.65*E15-1.692*F15)</f>
        <v>7.4394799999999996</v>
      </c>
      <c r="U15" s="23">
        <f>IF(F15="","",3.043*F15)</f>
        <v>11.593830000000001</v>
      </c>
      <c r="V15" s="212">
        <f t="shared" si="2"/>
        <v>28.5743829</v>
      </c>
      <c r="W15" s="217">
        <v>1</v>
      </c>
      <c r="X15" s="218"/>
      <c r="Z15" s="32">
        <f t="shared" si="3"/>
        <v>48.322280000000049</v>
      </c>
    </row>
    <row r="16" spans="1:26" ht="26.1" customHeight="1" x14ac:dyDescent="0.25">
      <c r="A16" s="208">
        <f>'Raw Mill'!A16</f>
        <v>0.54166666666666696</v>
      </c>
      <c r="B16" s="81">
        <v>1258</v>
      </c>
      <c r="C16" s="215"/>
      <c r="D16" s="77"/>
      <c r="E16" s="74"/>
      <c r="F16" s="74"/>
      <c r="G16" s="74"/>
      <c r="H16" s="74"/>
      <c r="I16" s="74"/>
      <c r="J16" s="74"/>
      <c r="K16" s="74"/>
      <c r="L16" s="80"/>
      <c r="M16" s="80"/>
      <c r="N16" s="20" t="str">
        <f t="shared" si="4"/>
        <v/>
      </c>
      <c r="O16" s="21"/>
      <c r="P16" s="22"/>
      <c r="Q16" s="23"/>
      <c r="R16" s="21" t="str">
        <f t="shared" si="1"/>
        <v/>
      </c>
      <c r="S16" s="22"/>
      <c r="T16" s="22"/>
      <c r="U16" s="23"/>
      <c r="V16" s="212" t="str">
        <f t="shared" si="2"/>
        <v/>
      </c>
      <c r="W16" s="217"/>
      <c r="X16" s="218"/>
      <c r="Z16" s="32"/>
    </row>
    <row r="17" spans="1:26" ht="26.1" customHeight="1" x14ac:dyDescent="0.25">
      <c r="A17" s="208">
        <f>'Raw Mill'!A17</f>
        <v>0.58333333333333304</v>
      </c>
      <c r="B17" s="81">
        <v>1292</v>
      </c>
      <c r="C17" s="215">
        <v>1.76</v>
      </c>
      <c r="D17" s="77">
        <v>21.16</v>
      </c>
      <c r="E17" s="74">
        <v>5.2</v>
      </c>
      <c r="F17" s="74">
        <v>3.73</v>
      </c>
      <c r="G17" s="74">
        <v>63.41</v>
      </c>
      <c r="H17" s="74">
        <v>4.01</v>
      </c>
      <c r="I17" s="74">
        <v>0.81</v>
      </c>
      <c r="J17" s="74">
        <v>0.14000000000000001</v>
      </c>
      <c r="K17" s="74">
        <v>0.44</v>
      </c>
      <c r="L17" s="80">
        <v>0.01</v>
      </c>
      <c r="M17" s="216">
        <f>IF(K17=0,"",(0.658*K17+J17))</f>
        <v>0.42952000000000001</v>
      </c>
      <c r="N17" s="20">
        <f t="shared" si="4"/>
        <v>98.910000000000011</v>
      </c>
      <c r="O17" s="21">
        <f>IF(D17="","",100*(G17-0.7*I17)/(2.8*D17+1.18*E17+0.65*F17))</f>
        <v>92.677171741005921</v>
      </c>
      <c r="P17" s="22">
        <f>IF(D17="","",D17/(E17+F17))</f>
        <v>2.3695408734602466</v>
      </c>
      <c r="Q17" s="23">
        <f>IF(E17="","",E17/F17)</f>
        <v>1.3941018766756033</v>
      </c>
      <c r="R17" s="21">
        <f t="shared" si="1"/>
        <v>54.674680000000023</v>
      </c>
      <c r="S17" s="22">
        <f>IF(D17="","",2.87*D17-0.7544*R17)</f>
        <v>19.482621407999993</v>
      </c>
      <c r="T17" s="22">
        <f>IF(E17="","",2.65*E17-1.692*F17)</f>
        <v>7.4688399999999993</v>
      </c>
      <c r="U17" s="23">
        <f>IF(F17="","",3.043*F17)</f>
        <v>11.350390000000001</v>
      </c>
      <c r="V17" s="212">
        <f t="shared" si="2"/>
        <v>28.202335700000003</v>
      </c>
      <c r="W17" s="217">
        <v>1</v>
      </c>
      <c r="X17" s="218"/>
      <c r="Z17" s="32">
        <f t="shared" si="3"/>
        <v>47.511480000000006</v>
      </c>
    </row>
    <row r="18" spans="1:26" ht="26.1" customHeight="1" x14ac:dyDescent="0.25">
      <c r="A18" s="208">
        <f>'Raw Mill'!A18</f>
        <v>0.625</v>
      </c>
      <c r="B18" s="81">
        <v>1308</v>
      </c>
      <c r="C18" s="215"/>
      <c r="D18" s="77"/>
      <c r="E18" s="74"/>
      <c r="F18" s="74"/>
      <c r="G18" s="74"/>
      <c r="H18" s="74"/>
      <c r="I18" s="74"/>
      <c r="J18" s="74"/>
      <c r="K18" s="74"/>
      <c r="L18" s="80"/>
      <c r="M18" s="80"/>
      <c r="N18" s="20" t="str">
        <f t="shared" si="4"/>
        <v/>
      </c>
      <c r="O18" s="21"/>
      <c r="P18" s="22"/>
      <c r="Q18" s="23"/>
      <c r="R18" s="21" t="str">
        <f t="shared" si="1"/>
        <v/>
      </c>
      <c r="S18" s="22"/>
      <c r="T18" s="22"/>
      <c r="U18" s="23"/>
      <c r="V18" s="212" t="str">
        <f t="shared" si="2"/>
        <v/>
      </c>
      <c r="W18" s="217"/>
      <c r="X18" s="218"/>
      <c r="Z18" s="32"/>
    </row>
    <row r="19" spans="1:26" ht="26.1" customHeight="1" x14ac:dyDescent="0.25">
      <c r="A19" s="208">
        <f>'Raw Mill'!A19</f>
        <v>0.66666666666666696</v>
      </c>
      <c r="B19" s="81">
        <v>1390</v>
      </c>
      <c r="C19" s="215">
        <v>1.84</v>
      </c>
      <c r="D19" s="77">
        <v>21.2</v>
      </c>
      <c r="E19" s="74">
        <v>5.21</v>
      </c>
      <c r="F19" s="74">
        <v>3.79</v>
      </c>
      <c r="G19" s="74">
        <v>63.65</v>
      </c>
      <c r="H19" s="74">
        <v>4.0599999999999996</v>
      </c>
      <c r="I19" s="74">
        <v>0.77</v>
      </c>
      <c r="J19" s="74">
        <v>0.14000000000000001</v>
      </c>
      <c r="K19" s="74">
        <v>0.43</v>
      </c>
      <c r="L19" s="80">
        <v>0.01</v>
      </c>
      <c r="M19" s="216">
        <f>IF(K19=0,"",(0.658*K19+J19))</f>
        <v>0.42294000000000004</v>
      </c>
      <c r="N19" s="20">
        <f t="shared" si="4"/>
        <v>99.26</v>
      </c>
      <c r="O19" s="21">
        <f>IF(D19="","",100*(G19-0.7*I19)/(2.8*D19+1.18*E19+0.65*F19))</f>
        <v>92.849482060810971</v>
      </c>
      <c r="P19" s="22">
        <f>IF(D19="","",D19/(E19+F19))</f>
        <v>2.3555555555555556</v>
      </c>
      <c r="Q19" s="23">
        <f>IF(E19="","",E19/F19)</f>
        <v>1.3746701846965699</v>
      </c>
      <c r="R19" s="21">
        <f t="shared" si="1"/>
        <v>55.308560000000028</v>
      </c>
      <c r="S19" s="22">
        <f>IF(D19="","",2.87*D19-0.7544*R19)</f>
        <v>19.119222335999979</v>
      </c>
      <c r="T19" s="22">
        <f>IF(E19="","",2.65*E19-1.692*F19)</f>
        <v>7.3938199999999998</v>
      </c>
      <c r="U19" s="23">
        <f>IF(F19="","",3.043*F19)</f>
        <v>11.532970000000001</v>
      </c>
      <c r="V19" s="212">
        <f t="shared" si="2"/>
        <v>28.407466100000001</v>
      </c>
      <c r="W19" s="217">
        <v>1</v>
      </c>
      <c r="X19" s="218" t="s">
        <v>84</v>
      </c>
      <c r="Z19" s="32">
        <f t="shared" si="3"/>
        <v>47.819760000000031</v>
      </c>
    </row>
    <row r="20" spans="1:26" ht="26.1" customHeight="1" x14ac:dyDescent="0.25">
      <c r="A20" s="208">
        <f>'Raw Mill'!A20</f>
        <v>0.70833333333333304</v>
      </c>
      <c r="B20" s="81">
        <v>1356</v>
      </c>
      <c r="C20" s="215"/>
      <c r="D20" s="77"/>
      <c r="E20" s="74"/>
      <c r="F20" s="74"/>
      <c r="G20" s="74"/>
      <c r="H20" s="74"/>
      <c r="I20" s="74"/>
      <c r="J20" s="74"/>
      <c r="K20" s="74"/>
      <c r="L20" s="80"/>
      <c r="M20" s="80"/>
      <c r="N20" s="20" t="str">
        <f t="shared" si="4"/>
        <v/>
      </c>
      <c r="O20" s="21"/>
      <c r="P20" s="22"/>
      <c r="Q20" s="23"/>
      <c r="R20" s="21" t="str">
        <f t="shared" si="1"/>
        <v/>
      </c>
      <c r="S20" s="22"/>
      <c r="T20" s="22"/>
      <c r="U20" s="23"/>
      <c r="V20" s="212" t="str">
        <f t="shared" si="2"/>
        <v/>
      </c>
      <c r="W20" s="217"/>
      <c r="X20" s="218"/>
      <c r="Z20" s="32"/>
    </row>
    <row r="21" spans="1:26" ht="26.1" customHeight="1" x14ac:dyDescent="0.25">
      <c r="A21" s="208">
        <f>'Raw Mill'!A21</f>
        <v>0.75</v>
      </c>
      <c r="B21" s="81">
        <v>1358</v>
      </c>
      <c r="C21" s="215">
        <v>1.76</v>
      </c>
      <c r="D21" s="77">
        <v>21.34</v>
      </c>
      <c r="E21" s="74">
        <v>5.26</v>
      </c>
      <c r="F21" s="74">
        <v>3.83</v>
      </c>
      <c r="G21" s="74">
        <v>63.75</v>
      </c>
      <c r="H21" s="74">
        <v>4.0599999999999996</v>
      </c>
      <c r="I21" s="74">
        <v>0.85</v>
      </c>
      <c r="J21" s="74">
        <v>0.14000000000000001</v>
      </c>
      <c r="K21" s="74">
        <v>0.47</v>
      </c>
      <c r="L21" s="80">
        <v>0.03</v>
      </c>
      <c r="M21" s="216">
        <f>IF(K21=0,"",(0.658*K21+J21))</f>
        <v>0.44925999999999999</v>
      </c>
      <c r="N21" s="20">
        <f t="shared" si="4"/>
        <v>99.73</v>
      </c>
      <c r="O21" s="21">
        <f>IF(D21="","",100*(G21-0.7*I21)/(2.8*D21+1.18*E21+0.65*F21))</f>
        <v>92.266718092341222</v>
      </c>
      <c r="P21" s="22">
        <f>IF(D21="","",D21/(E21+F21))</f>
        <v>2.3476347634763477</v>
      </c>
      <c r="Q21" s="23">
        <f>IF(E21="","",E21/F21)</f>
        <v>1.3733681462140992</v>
      </c>
      <c r="R21" s="21">
        <f t="shared" si="1"/>
        <v>54.030200000000043</v>
      </c>
      <c r="S21" s="22">
        <f>IF(D21="","",2.87*D21-0.7544*R21)</f>
        <v>20.485417119999973</v>
      </c>
      <c r="T21" s="22">
        <f>IF(E21="","",2.65*E21-1.692*F21)</f>
        <v>7.4586399999999982</v>
      </c>
      <c r="U21" s="23">
        <f>IF(F21="","",3.043*F21)</f>
        <v>11.65469</v>
      </c>
      <c r="V21" s="212">
        <f t="shared" si="2"/>
        <v>28.671354699999995</v>
      </c>
      <c r="W21" s="217">
        <v>1</v>
      </c>
      <c r="X21" s="218"/>
      <c r="Z21" s="32">
        <f t="shared" si="3"/>
        <v>46.867000000000026</v>
      </c>
    </row>
    <row r="22" spans="1:26" ht="26.1" customHeight="1" x14ac:dyDescent="0.25">
      <c r="A22" s="208">
        <f>'Raw Mill'!A22</f>
        <v>0.79166666666666696</v>
      </c>
      <c r="B22" s="81">
        <v>1310</v>
      </c>
      <c r="C22" s="215"/>
      <c r="D22" s="77"/>
      <c r="E22" s="74"/>
      <c r="F22" s="74"/>
      <c r="G22" s="74"/>
      <c r="H22" s="74"/>
      <c r="I22" s="74"/>
      <c r="J22" s="74"/>
      <c r="K22" s="74"/>
      <c r="L22" s="80"/>
      <c r="M22" s="80"/>
      <c r="N22" s="20" t="str">
        <f t="shared" si="4"/>
        <v/>
      </c>
      <c r="O22" s="21"/>
      <c r="P22" s="22"/>
      <c r="Q22" s="23"/>
      <c r="R22" s="21" t="str">
        <f t="shared" si="1"/>
        <v/>
      </c>
      <c r="S22" s="22"/>
      <c r="T22" s="22"/>
      <c r="U22" s="23"/>
      <c r="V22" s="212" t="str">
        <f t="shared" si="2"/>
        <v/>
      </c>
      <c r="W22" s="217"/>
      <c r="X22" s="218"/>
      <c r="Z22" s="32"/>
    </row>
    <row r="23" spans="1:26" ht="26.1" customHeight="1" x14ac:dyDescent="0.25">
      <c r="A23" s="208">
        <f>'Raw Mill'!A23</f>
        <v>0.83333333333333304</v>
      </c>
      <c r="B23" s="81">
        <v>1342</v>
      </c>
      <c r="C23" s="215">
        <v>1.68</v>
      </c>
      <c r="D23" s="77">
        <v>21.3</v>
      </c>
      <c r="E23" s="74">
        <v>5.17</v>
      </c>
      <c r="F23" s="74">
        <v>3.76</v>
      </c>
      <c r="G23" s="74">
        <v>63.55</v>
      </c>
      <c r="H23" s="74">
        <v>4.09</v>
      </c>
      <c r="I23" s="74">
        <v>0.8</v>
      </c>
      <c r="J23" s="74">
        <v>0.14000000000000001</v>
      </c>
      <c r="K23" s="74">
        <v>0.45</v>
      </c>
      <c r="L23" s="80">
        <v>0.02</v>
      </c>
      <c r="M23" s="216">
        <f>IF(K23=0,"",(0.658*K23+J23))</f>
        <v>0.43610000000000004</v>
      </c>
      <c r="N23" s="20">
        <f t="shared" si="4"/>
        <v>99.28</v>
      </c>
      <c r="O23" s="21">
        <f>IF(D23="","",100*(G23-0.7*I23)/(2.8*D23+1.18*E23+0.65*F23))</f>
        <v>92.381564165515357</v>
      </c>
      <c r="P23" s="22">
        <f>IF(D23="","",D23/(E23+F23))</f>
        <v>2.3852183650615904</v>
      </c>
      <c r="Q23" s="23">
        <f>IF(E23="","",E23/F23)</f>
        <v>1.375</v>
      </c>
      <c r="R23" s="21">
        <f t="shared" si="1"/>
        <v>54.367700000000028</v>
      </c>
      <c r="S23" s="22">
        <f>IF(D23="","",2.87*D23-0.7544*R23)</f>
        <v>20.116007119999992</v>
      </c>
      <c r="T23" s="22">
        <f>IF(E23="","",2.65*E23-1.692*F23)</f>
        <v>7.3385800000000003</v>
      </c>
      <c r="U23" s="23">
        <f>IF(F23="","",3.043*F23)</f>
        <v>11.44168</v>
      </c>
      <c r="V23" s="212">
        <f t="shared" si="2"/>
        <v>28.264963399999999</v>
      </c>
      <c r="W23" s="217">
        <v>1</v>
      </c>
      <c r="X23" s="218"/>
      <c r="Z23" s="32">
        <f t="shared" si="3"/>
        <v>47.530100000000019</v>
      </c>
    </row>
    <row r="24" spans="1:26" ht="26.1" customHeight="1" x14ac:dyDescent="0.25">
      <c r="A24" s="208">
        <f>'Raw Mill'!A24</f>
        <v>0.875</v>
      </c>
      <c r="B24" s="81">
        <v>1386</v>
      </c>
      <c r="C24" s="215"/>
      <c r="D24" s="77"/>
      <c r="E24" s="74"/>
      <c r="F24" s="74"/>
      <c r="G24" s="74"/>
      <c r="H24" s="74"/>
      <c r="I24" s="74"/>
      <c r="J24" s="74"/>
      <c r="K24" s="74"/>
      <c r="L24" s="80"/>
      <c r="M24" s="80"/>
      <c r="N24" s="20" t="str">
        <f t="shared" si="4"/>
        <v/>
      </c>
      <c r="O24" s="21"/>
      <c r="P24" s="22"/>
      <c r="Q24" s="23"/>
      <c r="R24" s="21" t="str">
        <f t="shared" si="1"/>
        <v/>
      </c>
      <c r="S24" s="22"/>
      <c r="T24" s="22"/>
      <c r="U24" s="23"/>
      <c r="V24" s="212" t="str">
        <f t="shared" si="2"/>
        <v/>
      </c>
      <c r="W24" s="217"/>
      <c r="X24" s="218"/>
      <c r="Z24" s="32"/>
    </row>
    <row r="25" spans="1:26" ht="26.1" customHeight="1" x14ac:dyDescent="0.25">
      <c r="A25" s="208">
        <f>'Raw Mill'!A25</f>
        <v>0.91666666666666696</v>
      </c>
      <c r="B25" s="81">
        <v>1400</v>
      </c>
      <c r="C25" s="215">
        <v>1.76</v>
      </c>
      <c r="D25" s="77">
        <v>21.25</v>
      </c>
      <c r="E25" s="74">
        <v>5.32</v>
      </c>
      <c r="F25" s="74">
        <v>3.9</v>
      </c>
      <c r="G25" s="74">
        <v>63.85</v>
      </c>
      <c r="H25" s="74">
        <v>4.2</v>
      </c>
      <c r="I25" s="74">
        <v>0.84</v>
      </c>
      <c r="J25" s="74">
        <v>0.14000000000000001</v>
      </c>
      <c r="K25" s="74">
        <v>0.45</v>
      </c>
      <c r="L25" s="80">
        <v>0.02</v>
      </c>
      <c r="M25" s="216">
        <f>IF(K25=0,"",(0.658*K25+J25))</f>
        <v>0.43610000000000004</v>
      </c>
      <c r="N25" s="20">
        <f t="shared" si="4"/>
        <v>99.97</v>
      </c>
      <c r="O25" s="21">
        <f>IF(D25="","",100*(G25-0.7*I25)/(2.8*D25+1.18*E25+0.65*F25))</f>
        <v>92.606634793581279</v>
      </c>
      <c r="P25" s="22">
        <f>IF(D25="","",D25/(E25+F25))</f>
        <v>2.3047722342733188</v>
      </c>
      <c r="Q25" s="23">
        <f>IF(E25="","",E25/F25)</f>
        <v>1.3641025641025641</v>
      </c>
      <c r="R25" s="21">
        <f t="shared" si="1"/>
        <v>54.64642000000002</v>
      </c>
      <c r="S25" s="22">
        <f>IF(D25="","",2.87*D25-0.7544*R25)</f>
        <v>19.76224075199999</v>
      </c>
      <c r="T25" s="22">
        <f>IF(E25="","",2.65*E25-1.692*F25)</f>
        <v>7.499200000000001</v>
      </c>
      <c r="U25" s="23">
        <f>IF(F25="","",3.043*F25)</f>
        <v>11.867700000000001</v>
      </c>
      <c r="V25" s="212">
        <f t="shared" si="2"/>
        <v>29.131591</v>
      </c>
      <c r="W25" s="217">
        <v>1</v>
      </c>
      <c r="X25" s="218"/>
      <c r="Z25" s="32">
        <f t="shared" si="3"/>
        <v>47.483220000000031</v>
      </c>
    </row>
    <row r="26" spans="1:26" ht="26.1" customHeight="1" x14ac:dyDescent="0.25">
      <c r="A26" s="208">
        <f>'Raw Mill'!A26</f>
        <v>0.95833333333333304</v>
      </c>
      <c r="B26" s="81">
        <v>1422</v>
      </c>
      <c r="C26" s="215"/>
      <c r="D26" s="77"/>
      <c r="E26" s="74"/>
      <c r="F26" s="74"/>
      <c r="G26" s="74"/>
      <c r="H26" s="74"/>
      <c r="I26" s="74"/>
      <c r="J26" s="74"/>
      <c r="K26" s="74"/>
      <c r="L26" s="80"/>
      <c r="M26" s="80"/>
      <c r="N26" s="20" t="str">
        <f t="shared" si="4"/>
        <v/>
      </c>
      <c r="O26" s="21"/>
      <c r="P26" s="22"/>
      <c r="Q26" s="23"/>
      <c r="R26" s="21" t="str">
        <f t="shared" si="1"/>
        <v/>
      </c>
      <c r="S26" s="22"/>
      <c r="T26" s="22"/>
      <c r="U26" s="23"/>
      <c r="V26" s="212" t="str">
        <f t="shared" si="2"/>
        <v/>
      </c>
      <c r="W26" s="217"/>
      <c r="X26" s="218"/>
      <c r="Z26" s="32"/>
    </row>
    <row r="27" spans="1:26" ht="26.1" customHeight="1" thickBot="1" x14ac:dyDescent="0.3">
      <c r="A27" s="219">
        <f>'Raw Mill'!A27</f>
        <v>1</v>
      </c>
      <c r="B27" s="91">
        <v>1380</v>
      </c>
      <c r="C27" s="220">
        <v>1.68</v>
      </c>
      <c r="D27" s="90">
        <v>21.18</v>
      </c>
      <c r="E27" s="151">
        <v>5.35</v>
      </c>
      <c r="F27" s="151">
        <v>3.89</v>
      </c>
      <c r="G27" s="151">
        <v>63.88</v>
      </c>
      <c r="H27" s="151">
        <v>4.2</v>
      </c>
      <c r="I27" s="151">
        <v>0.79</v>
      </c>
      <c r="J27" s="151">
        <v>0.14000000000000001</v>
      </c>
      <c r="K27" s="151">
        <v>0.45</v>
      </c>
      <c r="L27" s="152">
        <v>0.01</v>
      </c>
      <c r="M27" s="216">
        <f>IF(K27=0,"",(0.658*K27+J27))</f>
        <v>0.43610000000000004</v>
      </c>
      <c r="N27" s="33">
        <f t="shared" si="4"/>
        <v>99.890000000000029</v>
      </c>
      <c r="O27" s="21">
        <f>IF(D27="","",100*(G27-0.7*I27)/(2.8*D27+1.18*E27+0.65*F27))</f>
        <v>92.929100234058041</v>
      </c>
      <c r="P27" s="22">
        <f>IF(D27="","",D27/(E27+F27))</f>
        <v>2.2922077922077921</v>
      </c>
      <c r="Q27" s="23">
        <f>IF(E27="","",E27/F27)</f>
        <v>1.3753213367609254</v>
      </c>
      <c r="R27" s="21">
        <f t="shared" si="1"/>
        <v>55.255820000000021</v>
      </c>
      <c r="S27" s="22">
        <f>IF(D27="","",2.87*D27-0.7544*R27)</f>
        <v>19.101609391999986</v>
      </c>
      <c r="T27" s="22">
        <f>IF(E27="","",2.65*E27-1.692*F27)</f>
        <v>7.5956199999999985</v>
      </c>
      <c r="U27" s="23">
        <f>IF(F27="","",3.043*F27)</f>
        <v>11.83727</v>
      </c>
      <c r="V27" s="212">
        <f t="shared" si="2"/>
        <v>29.199465099999998</v>
      </c>
      <c r="W27" s="221">
        <v>1</v>
      </c>
      <c r="X27" s="222"/>
      <c r="Z27" s="32">
        <f t="shared" si="3"/>
        <v>48.418220000000041</v>
      </c>
    </row>
    <row r="28" spans="1:26" ht="26.1" customHeight="1" thickTop="1" thickBot="1" x14ac:dyDescent="0.3">
      <c r="A28" s="223" t="s">
        <v>10</v>
      </c>
      <c r="B28" s="224">
        <f>AVERAGE(B4:B27)</f>
        <v>1325.8333333333333</v>
      </c>
      <c r="C28" s="161">
        <f t="shared" ref="C28:N28" si="5">AVERAGE(C4:C27)</f>
        <v>1.7333333333333334</v>
      </c>
      <c r="D28" s="159">
        <f t="shared" si="5"/>
        <v>21.150833333333335</v>
      </c>
      <c r="E28" s="225">
        <f t="shared" si="5"/>
        <v>5.267500000000001</v>
      </c>
      <c r="F28" s="225">
        <f t="shared" si="5"/>
        <v>3.8441666666666663</v>
      </c>
      <c r="G28" s="225">
        <f t="shared" si="5"/>
        <v>63.61249999999999</v>
      </c>
      <c r="H28" s="225">
        <f t="shared" si="5"/>
        <v>4.0891666666666673</v>
      </c>
      <c r="I28" s="225">
        <f t="shared" si="5"/>
        <v>0.8125</v>
      </c>
      <c r="J28" s="225">
        <f t="shared" si="5"/>
        <v>0.14000000000000004</v>
      </c>
      <c r="K28" s="225">
        <f t="shared" si="5"/>
        <v>0.44833333333333342</v>
      </c>
      <c r="L28" s="226">
        <f t="shared" si="5"/>
        <v>1.5833333333333335E-2</v>
      </c>
      <c r="M28" s="226">
        <f t="shared" si="5"/>
        <v>0.43500333333333324</v>
      </c>
      <c r="N28" s="227">
        <f t="shared" si="5"/>
        <v>99.380833333333328</v>
      </c>
      <c r="O28" s="159">
        <f>(G28-0.7*I28)/(2.8*D28+1.18*E28+0.65*F28)*100</f>
        <v>92.79779225830714</v>
      </c>
      <c r="P28" s="225">
        <f>D28/(E28+F28)</f>
        <v>2.3212913846716661</v>
      </c>
      <c r="Q28" s="226">
        <f>E28/F28</f>
        <v>1.3702579666160855</v>
      </c>
      <c r="R28" s="228">
        <f>4.071*(G28)-7.6*D28-6.718*E28-1.432*F28-2.852*I28</f>
        <v>55.010992499999915</v>
      </c>
      <c r="S28" s="225">
        <f>2.867*D28-0.7544*R28</f>
        <v>19.139146424666734</v>
      </c>
      <c r="T28" s="225">
        <f>2.65*E28-1.692*F28</f>
        <v>7.4545450000000031</v>
      </c>
      <c r="U28" s="226">
        <f>3.043*F28</f>
        <v>11.697799166666666</v>
      </c>
      <c r="V28" s="226">
        <f>+(1.13*T28)+(1.35*U28)+H28+M28</f>
        <v>28.739834725000005</v>
      </c>
      <c r="W28" s="229"/>
      <c r="X28" s="230"/>
      <c r="Z28" s="226">
        <f t="shared" ref="Z28" si="6">AVERAGE(Z4:Z27)</f>
        <v>47.889866666666698</v>
      </c>
    </row>
    <row r="29" spans="1:26" ht="26.1" customHeight="1" x14ac:dyDescent="0.25">
      <c r="A29" s="231" t="s">
        <v>43</v>
      </c>
      <c r="B29" s="232">
        <f>MIN(B4:B27)</f>
        <v>1258</v>
      </c>
      <c r="C29" s="103">
        <f t="shared" ref="C29:V29" si="7">MIN(C4:C27)</f>
        <v>1.6</v>
      </c>
      <c r="D29" s="101">
        <f t="shared" si="7"/>
        <v>20.96</v>
      </c>
      <c r="E29" s="102">
        <f t="shared" si="7"/>
        <v>5.17</v>
      </c>
      <c r="F29" s="102">
        <f t="shared" si="7"/>
        <v>3.73</v>
      </c>
      <c r="G29" s="102">
        <f t="shared" si="7"/>
        <v>63.3</v>
      </c>
      <c r="H29" s="102">
        <f t="shared" si="7"/>
        <v>4.01</v>
      </c>
      <c r="I29" s="102">
        <f t="shared" si="7"/>
        <v>0.77</v>
      </c>
      <c r="J29" s="102">
        <f t="shared" si="7"/>
        <v>0.14000000000000001</v>
      </c>
      <c r="K29" s="102">
        <f t="shared" si="7"/>
        <v>0.43</v>
      </c>
      <c r="L29" s="103">
        <f t="shared" si="7"/>
        <v>0.01</v>
      </c>
      <c r="M29" s="103">
        <f t="shared" si="7"/>
        <v>0.42294000000000004</v>
      </c>
      <c r="N29" s="101">
        <f t="shared" si="7"/>
        <v>98.850000000000023</v>
      </c>
      <c r="O29" s="101">
        <f t="shared" si="7"/>
        <v>92.266718092341222</v>
      </c>
      <c r="P29" s="102">
        <f t="shared" si="7"/>
        <v>2.2733188720173541</v>
      </c>
      <c r="Q29" s="103">
        <f t="shared" si="7"/>
        <v>1.3410852713178296</v>
      </c>
      <c r="R29" s="101">
        <f t="shared" si="7"/>
        <v>54.030200000000043</v>
      </c>
      <c r="S29" s="102">
        <f t="shared" si="7"/>
        <v>18.464732448000007</v>
      </c>
      <c r="T29" s="102">
        <f t="shared" si="7"/>
        <v>7.2054600000000004</v>
      </c>
      <c r="U29" s="103">
        <f t="shared" si="7"/>
        <v>11.350390000000001</v>
      </c>
      <c r="V29" s="103">
        <f t="shared" si="7"/>
        <v>28.202335700000003</v>
      </c>
      <c r="W29" s="233"/>
      <c r="X29" s="173"/>
      <c r="Z29" s="234">
        <f t="shared" ref="Z29" si="8">MIN(Z4:Z27)</f>
        <v>46.867000000000026</v>
      </c>
    </row>
    <row r="30" spans="1:26" ht="26.1" customHeight="1" x14ac:dyDescent="0.25">
      <c r="A30" s="235" t="s">
        <v>44</v>
      </c>
      <c r="B30" s="236">
        <f>MAX(B4:B27)</f>
        <v>1422</v>
      </c>
      <c r="C30" s="23">
        <f t="shared" ref="C30:V30" si="9">MAX(C4:C27)</f>
        <v>1.84</v>
      </c>
      <c r="D30" s="21">
        <f t="shared" si="9"/>
        <v>21.34</v>
      </c>
      <c r="E30" s="22">
        <f t="shared" si="9"/>
        <v>5.35</v>
      </c>
      <c r="F30" s="22">
        <f t="shared" si="9"/>
        <v>3.91</v>
      </c>
      <c r="G30" s="22">
        <f t="shared" si="9"/>
        <v>63.88</v>
      </c>
      <c r="H30" s="22">
        <f t="shared" si="9"/>
        <v>4.2</v>
      </c>
      <c r="I30" s="22">
        <f t="shared" si="9"/>
        <v>0.88</v>
      </c>
      <c r="J30" s="22">
        <f t="shared" si="9"/>
        <v>0.14000000000000001</v>
      </c>
      <c r="K30" s="22">
        <f t="shared" si="9"/>
        <v>0.47</v>
      </c>
      <c r="L30" s="23">
        <f t="shared" si="9"/>
        <v>0.03</v>
      </c>
      <c r="M30" s="23">
        <f t="shared" si="9"/>
        <v>0.44925999999999999</v>
      </c>
      <c r="N30" s="21">
        <f t="shared" si="9"/>
        <v>99.97</v>
      </c>
      <c r="O30" s="21">
        <f t="shared" si="9"/>
        <v>93.166763440732794</v>
      </c>
      <c r="P30" s="22">
        <f t="shared" si="9"/>
        <v>2.3852183650615904</v>
      </c>
      <c r="Q30" s="23">
        <f t="shared" si="9"/>
        <v>1.3941018766756033</v>
      </c>
      <c r="R30" s="21">
        <f t="shared" si="9"/>
        <v>55.726340000000029</v>
      </c>
      <c r="S30" s="22">
        <f t="shared" si="9"/>
        <v>20.485417119999973</v>
      </c>
      <c r="T30" s="22">
        <f t="shared" si="9"/>
        <v>7.5956199999999985</v>
      </c>
      <c r="U30" s="23">
        <f t="shared" si="9"/>
        <v>11.898130000000002</v>
      </c>
      <c r="V30" s="23">
        <f t="shared" si="9"/>
        <v>29.199465099999998</v>
      </c>
      <c r="W30" s="237"/>
      <c r="X30" s="178"/>
      <c r="Z30" s="32">
        <f t="shared" ref="Z30" si="10">MAX(Z4:Z27)</f>
        <v>48.56314000000004</v>
      </c>
    </row>
    <row r="31" spans="1:26" ht="26.1" customHeight="1" thickBot="1" x14ac:dyDescent="0.3">
      <c r="A31" s="238" t="s">
        <v>45</v>
      </c>
      <c r="B31" s="115">
        <f>STDEV(B4:B27)</f>
        <v>44.299049618490116</v>
      </c>
      <c r="C31" s="116">
        <f t="shared" ref="C31:V31" si="11">STDEV(C4:C27)</f>
        <v>7.1010029167887581E-2</v>
      </c>
      <c r="D31" s="114">
        <f t="shared" si="11"/>
        <v>0.11413375991140884</v>
      </c>
      <c r="E31" s="115">
        <f t="shared" si="11"/>
        <v>6.3977979166130378E-2</v>
      </c>
      <c r="F31" s="115">
        <f t="shared" si="11"/>
        <v>5.9307876731714552E-2</v>
      </c>
      <c r="G31" s="115">
        <f t="shared" si="11"/>
        <v>0.20091269021868544</v>
      </c>
      <c r="H31" s="115">
        <f t="shared" si="11"/>
        <v>5.8380932960456773E-2</v>
      </c>
      <c r="I31" s="115">
        <f t="shared" si="11"/>
        <v>3.6462932610329811E-2</v>
      </c>
      <c r="J31" s="115">
        <f t="shared" si="11"/>
        <v>2.8989753257218837E-17</v>
      </c>
      <c r="K31" s="115">
        <f t="shared" si="11"/>
        <v>1.267304464625847E-2</v>
      </c>
      <c r="L31" s="116">
        <f t="shared" si="11"/>
        <v>6.6855792342152155E-3</v>
      </c>
      <c r="M31" s="116">
        <f t="shared" si="11"/>
        <v>8.3388633772380674E-3</v>
      </c>
      <c r="N31" s="114">
        <f t="shared" si="11"/>
        <v>0.36277862855098564</v>
      </c>
      <c r="O31" s="114">
        <f t="shared" si="11"/>
        <v>0.27967925272463401</v>
      </c>
      <c r="P31" s="115">
        <f t="shared" si="11"/>
        <v>3.644851998469803E-2</v>
      </c>
      <c r="Q31" s="116">
        <f t="shared" si="11"/>
        <v>1.3222088716513539E-2</v>
      </c>
      <c r="R31" s="114">
        <f t="shared" si="11"/>
        <v>0.54082876391588464</v>
      </c>
      <c r="S31" s="115">
        <f t="shared" si="11"/>
        <v>0.61969986524465126</v>
      </c>
      <c r="T31" s="115">
        <f t="shared" si="11"/>
        <v>0.11053139911766731</v>
      </c>
      <c r="U31" s="116">
        <f t="shared" si="11"/>
        <v>0.18047386889460737</v>
      </c>
      <c r="V31" s="116">
        <f t="shared" si="11"/>
        <v>0.34754933052248471</v>
      </c>
      <c r="W31" s="239"/>
      <c r="X31" s="240"/>
      <c r="Z31" s="241">
        <f t="shared" ref="Z31" si="12">STDEV(Z4:Z27)</f>
        <v>0.49918555255415248</v>
      </c>
    </row>
  </sheetData>
  <mergeCells count="11">
    <mergeCell ref="Z1:Z2"/>
    <mergeCell ref="X1:X2"/>
    <mergeCell ref="A1:A2"/>
    <mergeCell ref="B1:B2"/>
    <mergeCell ref="C1:C2"/>
    <mergeCell ref="W1:W2"/>
    <mergeCell ref="D1:L1"/>
    <mergeCell ref="O1:Q1"/>
    <mergeCell ref="R1:U1"/>
    <mergeCell ref="M1:M2"/>
    <mergeCell ref="N1:N2"/>
  </mergeCells>
  <printOptions horizontalCentered="1" verticalCentered="1"/>
  <pageMargins left="0" right="0" top="0" bottom="0" header="0.3" footer="0.3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S31"/>
  <sheetViews>
    <sheetView tabSelected="1" zoomScale="85" zoomScaleNormal="85" workbookViewId="0">
      <selection sqref="A1:XFD1048576"/>
    </sheetView>
  </sheetViews>
  <sheetFormatPr defaultRowHeight="15" x14ac:dyDescent="0.25"/>
  <cols>
    <col min="1" max="4" width="9.140625" style="54"/>
    <col min="5" max="5" width="9.140625" style="54" hidden="1" customWidth="1"/>
    <col min="6" max="6" width="9.85546875" style="54" customWidth="1"/>
    <col min="7" max="12" width="9.140625" style="54"/>
    <col min="13" max="16" width="8" style="54" customWidth="1"/>
    <col min="17" max="17" width="9.7109375" style="54" customWidth="1"/>
    <col min="18" max="18" width="10" style="54" customWidth="1"/>
    <col min="19" max="19" width="23.28515625" style="54" customWidth="1"/>
    <col min="20" max="16384" width="9.140625" style="54"/>
  </cols>
  <sheetData>
    <row r="1" spans="1:19" ht="18.75" customHeight="1" x14ac:dyDescent="0.25">
      <c r="A1" s="242" t="s">
        <v>0</v>
      </c>
      <c r="B1" s="243" t="s">
        <v>19</v>
      </c>
      <c r="C1" s="244"/>
      <c r="D1" s="244"/>
      <c r="E1" s="245"/>
      <c r="F1" s="246" t="s">
        <v>72</v>
      </c>
      <c r="G1" s="247" t="s">
        <v>50</v>
      </c>
      <c r="H1" s="248" t="s">
        <v>51</v>
      </c>
      <c r="I1" s="249" t="s">
        <v>49</v>
      </c>
      <c r="J1" s="250" t="s">
        <v>4</v>
      </c>
      <c r="K1" s="248" t="s">
        <v>47</v>
      </c>
      <c r="L1" s="249" t="s">
        <v>46</v>
      </c>
      <c r="M1" s="251" t="s">
        <v>39</v>
      </c>
      <c r="N1" s="252"/>
      <c r="O1" s="252"/>
      <c r="P1" s="253"/>
      <c r="Q1" s="254" t="s">
        <v>52</v>
      </c>
      <c r="R1" s="249" t="s">
        <v>53</v>
      </c>
      <c r="S1" s="255" t="s">
        <v>8</v>
      </c>
    </row>
    <row r="2" spans="1:19" ht="32.25" thickBot="1" x14ac:dyDescent="0.3">
      <c r="A2" s="256"/>
      <c r="B2" s="257" t="s">
        <v>20</v>
      </c>
      <c r="C2" s="258" t="s">
        <v>24</v>
      </c>
      <c r="D2" s="258" t="s">
        <v>11</v>
      </c>
      <c r="E2" s="259" t="s">
        <v>26</v>
      </c>
      <c r="F2" s="260"/>
      <c r="G2" s="261"/>
      <c r="H2" s="262"/>
      <c r="I2" s="263"/>
      <c r="J2" s="264"/>
      <c r="K2" s="262"/>
      <c r="L2" s="263"/>
      <c r="M2" s="257">
        <v>1</v>
      </c>
      <c r="N2" s="258">
        <v>2</v>
      </c>
      <c r="O2" s="258" t="s">
        <v>40</v>
      </c>
      <c r="P2" s="259" t="s">
        <v>41</v>
      </c>
      <c r="Q2" s="265"/>
      <c r="R2" s="263"/>
      <c r="S2" s="266"/>
    </row>
    <row r="3" spans="1:19" ht="38.25" customHeight="1" thickBot="1" x14ac:dyDescent="0.3">
      <c r="A3" s="267" t="s">
        <v>57</v>
      </c>
      <c r="B3" s="268"/>
      <c r="C3" s="269"/>
      <c r="D3" s="270"/>
      <c r="E3" s="271"/>
      <c r="F3" s="268" t="s">
        <v>71</v>
      </c>
      <c r="G3" s="66" t="s">
        <v>60</v>
      </c>
      <c r="H3" s="269" t="s">
        <v>73</v>
      </c>
      <c r="I3" s="271" t="s">
        <v>59</v>
      </c>
      <c r="J3" s="268"/>
      <c r="K3" s="269"/>
      <c r="L3" s="271"/>
      <c r="M3" s="272"/>
      <c r="N3" s="269"/>
      <c r="O3" s="269"/>
      <c r="P3" s="271"/>
      <c r="Q3" s="272"/>
      <c r="R3" s="271" t="s">
        <v>61</v>
      </c>
      <c r="S3" s="273"/>
    </row>
    <row r="4" spans="1:19" ht="23.25" customHeight="1" thickTop="1" x14ac:dyDescent="0.25">
      <c r="A4" s="274">
        <f>'Raw Mill'!A4</f>
        <v>4.1666666666666664E-2</v>
      </c>
      <c r="B4" s="40"/>
      <c r="C4" s="3"/>
      <c r="D4" s="4"/>
      <c r="E4" s="5"/>
      <c r="F4" s="29"/>
      <c r="G4" s="3"/>
      <c r="H4" s="3"/>
      <c r="I4" s="6"/>
      <c r="J4" s="7"/>
      <c r="K4" s="3"/>
      <c r="L4" s="6"/>
      <c r="M4" s="12"/>
      <c r="N4" s="1"/>
      <c r="O4" s="1"/>
      <c r="P4" s="10"/>
      <c r="Q4" s="11"/>
      <c r="R4" s="41">
        <v>106</v>
      </c>
      <c r="S4" s="42"/>
    </row>
    <row r="5" spans="1:19" ht="23.25" customHeight="1" x14ac:dyDescent="0.25">
      <c r="A5" s="274">
        <f>'Raw Mill'!A5</f>
        <v>8.3333333333333301E-2</v>
      </c>
      <c r="B5" s="26">
        <f t="shared" ref="B5" si="0">IF(C5="","",100-(C5+D5))</f>
        <v>90.2</v>
      </c>
      <c r="C5" s="3">
        <v>5.8</v>
      </c>
      <c r="D5" s="4">
        <v>4</v>
      </c>
      <c r="E5" s="5"/>
      <c r="F5" s="29">
        <v>343</v>
      </c>
      <c r="G5" s="3">
        <v>9.74</v>
      </c>
      <c r="H5" s="3">
        <v>2.93</v>
      </c>
      <c r="I5" s="6">
        <v>3.8</v>
      </c>
      <c r="J5" s="7">
        <v>92.13</v>
      </c>
      <c r="K5" s="3">
        <v>56.18</v>
      </c>
      <c r="L5" s="6">
        <v>6.76</v>
      </c>
      <c r="M5" s="12">
        <v>0.3</v>
      </c>
      <c r="N5" s="1">
        <v>0.4</v>
      </c>
      <c r="O5" s="1">
        <v>0.3</v>
      </c>
      <c r="P5" s="2"/>
      <c r="Q5" s="11">
        <v>3</v>
      </c>
      <c r="R5" s="10">
        <v>113</v>
      </c>
      <c r="S5" s="43" t="s">
        <v>82</v>
      </c>
    </row>
    <row r="6" spans="1:19" ht="23.25" customHeight="1" x14ac:dyDescent="0.25">
      <c r="A6" s="274">
        <f>'Raw Mill'!A6</f>
        <v>0.125</v>
      </c>
      <c r="B6" s="26"/>
      <c r="C6" s="3"/>
      <c r="D6" s="4"/>
      <c r="E6" s="5"/>
      <c r="F6" s="29"/>
      <c r="G6" s="3"/>
      <c r="H6" s="3"/>
      <c r="I6" s="6"/>
      <c r="J6" s="7"/>
      <c r="K6" s="3"/>
      <c r="L6" s="6"/>
      <c r="M6" s="12"/>
      <c r="N6" s="1"/>
      <c r="O6" s="1"/>
      <c r="P6" s="10"/>
      <c r="Q6" s="11"/>
      <c r="R6" s="10"/>
      <c r="S6" s="43"/>
    </row>
    <row r="7" spans="1:19" ht="23.25" customHeight="1" x14ac:dyDescent="0.25">
      <c r="A7" s="274">
        <f>'Raw Mill'!A7</f>
        <v>0.16666666666666699</v>
      </c>
      <c r="B7" s="26"/>
      <c r="C7" s="3"/>
      <c r="D7" s="4"/>
      <c r="E7" s="5"/>
      <c r="F7" s="29"/>
      <c r="G7" s="3"/>
      <c r="H7" s="3"/>
      <c r="I7" s="6"/>
      <c r="J7" s="7"/>
      <c r="K7" s="3"/>
      <c r="L7" s="6"/>
      <c r="M7" s="12"/>
      <c r="N7" s="1"/>
      <c r="O7" s="1"/>
      <c r="P7" s="10"/>
      <c r="Q7" s="11"/>
      <c r="R7" s="10"/>
      <c r="S7" s="43"/>
    </row>
    <row r="8" spans="1:19" ht="23.25" customHeight="1" x14ac:dyDescent="0.25">
      <c r="A8" s="274">
        <f>'Raw Mill'!A8</f>
        <v>0.20833333333333301</v>
      </c>
      <c r="B8" s="26"/>
      <c r="C8" s="3"/>
      <c r="D8" s="4"/>
      <c r="E8" s="5"/>
      <c r="F8" s="29"/>
      <c r="G8" s="3"/>
      <c r="H8" s="3"/>
      <c r="I8" s="6"/>
      <c r="J8" s="7"/>
      <c r="K8" s="3"/>
      <c r="L8" s="6"/>
      <c r="M8" s="12"/>
      <c r="N8" s="1"/>
      <c r="O8" s="1"/>
      <c r="P8" s="10"/>
      <c r="Q8" s="11"/>
      <c r="R8" s="10"/>
      <c r="S8" s="43"/>
    </row>
    <row r="9" spans="1:19" ht="23.25" customHeight="1" x14ac:dyDescent="0.25">
      <c r="A9" s="274">
        <f>'Raw Mill'!A9</f>
        <v>0.25</v>
      </c>
      <c r="B9" s="26" t="str">
        <f t="shared" ref="B9:B27" si="1">IF(C9="","",100-(C9+D9))</f>
        <v/>
      </c>
      <c r="C9" s="3"/>
      <c r="D9" s="4"/>
      <c r="E9" s="5"/>
      <c r="F9" s="29"/>
      <c r="G9" s="3"/>
      <c r="H9" s="3"/>
      <c r="I9" s="6"/>
      <c r="J9" s="7"/>
      <c r="K9" s="3"/>
      <c r="L9" s="6"/>
      <c r="M9" s="12"/>
      <c r="N9" s="1"/>
      <c r="O9" s="1"/>
      <c r="P9" s="10"/>
      <c r="Q9" s="11"/>
      <c r="R9" s="10"/>
      <c r="S9" s="43"/>
    </row>
    <row r="10" spans="1:19" ht="23.25" customHeight="1" x14ac:dyDescent="0.25">
      <c r="A10" s="274">
        <f>'Raw Mill'!A10</f>
        <v>0.29166666666666702</v>
      </c>
      <c r="B10" s="26" t="str">
        <f t="shared" si="1"/>
        <v/>
      </c>
      <c r="C10" s="3"/>
      <c r="D10" s="4"/>
      <c r="E10" s="5"/>
      <c r="F10" s="29"/>
      <c r="G10" s="3"/>
      <c r="H10" s="3"/>
      <c r="I10" s="6"/>
      <c r="J10" s="7"/>
      <c r="K10" s="3"/>
      <c r="L10" s="6"/>
      <c r="M10" s="8"/>
      <c r="N10" s="9"/>
      <c r="O10" s="9"/>
      <c r="P10" s="10"/>
      <c r="Q10" s="11"/>
      <c r="R10" s="10"/>
      <c r="S10" s="43"/>
    </row>
    <row r="11" spans="1:19" ht="23.25" customHeight="1" x14ac:dyDescent="0.25">
      <c r="A11" s="274">
        <f>'Raw Mill'!A11</f>
        <v>0.33333333333333298</v>
      </c>
      <c r="B11" s="26" t="str">
        <f t="shared" si="1"/>
        <v/>
      </c>
      <c r="C11" s="3"/>
      <c r="D11" s="4"/>
      <c r="E11" s="5"/>
      <c r="F11" s="29"/>
      <c r="G11" s="3"/>
      <c r="H11" s="3"/>
      <c r="I11" s="6"/>
      <c r="J11" s="7"/>
      <c r="K11" s="3"/>
      <c r="L11" s="6"/>
      <c r="M11" s="8"/>
      <c r="N11" s="9"/>
      <c r="O11" s="9"/>
      <c r="P11" s="10"/>
      <c r="Q11" s="11"/>
      <c r="R11" s="10"/>
      <c r="S11" s="43"/>
    </row>
    <row r="12" spans="1:19" ht="23.25" customHeight="1" x14ac:dyDescent="0.25">
      <c r="A12" s="274">
        <f>'Raw Mill'!A12</f>
        <v>0.375</v>
      </c>
      <c r="B12" s="26" t="str">
        <f t="shared" si="1"/>
        <v/>
      </c>
      <c r="C12" s="3"/>
      <c r="D12" s="4"/>
      <c r="E12" s="5"/>
      <c r="F12" s="29"/>
      <c r="G12" s="3"/>
      <c r="H12" s="3"/>
      <c r="I12" s="6"/>
      <c r="J12" s="7"/>
      <c r="K12" s="3"/>
      <c r="L12" s="6"/>
      <c r="M12" s="8"/>
      <c r="N12" s="9"/>
      <c r="O12" s="9"/>
      <c r="P12" s="10"/>
      <c r="Q12" s="11"/>
      <c r="R12" s="10"/>
      <c r="S12" s="43"/>
    </row>
    <row r="13" spans="1:19" ht="23.25" customHeight="1" x14ac:dyDescent="0.25">
      <c r="A13" s="274">
        <f>'Raw Mill'!A13</f>
        <v>0.41666666666666702</v>
      </c>
      <c r="B13" s="26" t="str">
        <f t="shared" si="1"/>
        <v/>
      </c>
      <c r="C13" s="3"/>
      <c r="D13" s="4"/>
      <c r="E13" s="5"/>
      <c r="F13" s="29"/>
      <c r="G13" s="3"/>
      <c r="H13" s="3"/>
      <c r="I13" s="6"/>
      <c r="J13" s="7"/>
      <c r="K13" s="3"/>
      <c r="L13" s="6"/>
      <c r="M13" s="8"/>
      <c r="N13" s="9"/>
      <c r="O13" s="9"/>
      <c r="P13" s="10"/>
      <c r="Q13" s="11"/>
      <c r="R13" s="10"/>
      <c r="S13" s="43"/>
    </row>
    <row r="14" spans="1:19" ht="23.25" customHeight="1" x14ac:dyDescent="0.25">
      <c r="A14" s="274">
        <f>'Raw Mill'!A14</f>
        <v>0.45833333333333298</v>
      </c>
      <c r="B14" s="26" t="str">
        <f t="shared" si="1"/>
        <v/>
      </c>
      <c r="C14" s="3"/>
      <c r="D14" s="4"/>
      <c r="E14" s="5"/>
      <c r="F14" s="29"/>
      <c r="G14" s="3"/>
      <c r="H14" s="3"/>
      <c r="I14" s="6"/>
      <c r="J14" s="7"/>
      <c r="K14" s="3"/>
      <c r="L14" s="6"/>
      <c r="M14" s="8"/>
      <c r="N14" s="9"/>
      <c r="O14" s="9"/>
      <c r="P14" s="10"/>
      <c r="Q14" s="11"/>
      <c r="R14" s="10"/>
      <c r="S14" s="43"/>
    </row>
    <row r="15" spans="1:19" ht="23.25" customHeight="1" x14ac:dyDescent="0.25">
      <c r="A15" s="274">
        <f>'Raw Mill'!A15</f>
        <v>0.5</v>
      </c>
      <c r="B15" s="26" t="str">
        <f t="shared" si="1"/>
        <v/>
      </c>
      <c r="C15" s="3"/>
      <c r="D15" s="4"/>
      <c r="E15" s="5"/>
      <c r="F15" s="29"/>
      <c r="G15" s="3"/>
      <c r="H15" s="3"/>
      <c r="I15" s="6"/>
      <c r="J15" s="7"/>
      <c r="K15" s="3"/>
      <c r="L15" s="6"/>
      <c r="M15" s="12"/>
      <c r="N15" s="1"/>
      <c r="O15" s="9"/>
      <c r="P15" s="2"/>
      <c r="Q15" s="11"/>
      <c r="R15" s="10"/>
      <c r="S15" s="43"/>
    </row>
    <row r="16" spans="1:19" ht="23.25" customHeight="1" x14ac:dyDescent="0.25">
      <c r="A16" s="274">
        <f>'Raw Mill'!A16</f>
        <v>0.54166666666666696</v>
      </c>
      <c r="B16" s="26" t="str">
        <f t="shared" si="1"/>
        <v/>
      </c>
      <c r="C16" s="3"/>
      <c r="D16" s="4"/>
      <c r="E16" s="5"/>
      <c r="F16" s="29"/>
      <c r="G16" s="3"/>
      <c r="H16" s="3"/>
      <c r="I16" s="6"/>
      <c r="J16" s="7"/>
      <c r="K16" s="3"/>
      <c r="L16" s="6"/>
      <c r="M16" s="8"/>
      <c r="N16" s="9"/>
      <c r="O16" s="9"/>
      <c r="P16" s="10"/>
      <c r="Q16" s="11"/>
      <c r="R16" s="10"/>
      <c r="S16" s="43"/>
    </row>
    <row r="17" spans="1:19" ht="23.25" customHeight="1" x14ac:dyDescent="0.25">
      <c r="A17" s="274">
        <f>'Raw Mill'!A17</f>
        <v>0.58333333333333304</v>
      </c>
      <c r="B17" s="26" t="str">
        <f t="shared" si="1"/>
        <v/>
      </c>
      <c r="C17" s="3"/>
      <c r="D17" s="4"/>
      <c r="E17" s="5"/>
      <c r="F17" s="29"/>
      <c r="G17" s="3"/>
      <c r="H17" s="3"/>
      <c r="I17" s="6"/>
      <c r="J17" s="7"/>
      <c r="K17" s="3"/>
      <c r="L17" s="6"/>
      <c r="M17" s="8"/>
      <c r="N17" s="9"/>
      <c r="O17" s="9"/>
      <c r="P17" s="10"/>
      <c r="Q17" s="11"/>
      <c r="R17" s="10"/>
      <c r="S17" s="43"/>
    </row>
    <row r="18" spans="1:19" ht="23.25" customHeight="1" x14ac:dyDescent="0.25">
      <c r="A18" s="274">
        <f>'Raw Mill'!A18</f>
        <v>0.625</v>
      </c>
      <c r="B18" s="26" t="str">
        <f t="shared" si="1"/>
        <v/>
      </c>
      <c r="C18" s="3"/>
      <c r="D18" s="4"/>
      <c r="E18" s="5"/>
      <c r="F18" s="29"/>
      <c r="G18" s="3"/>
      <c r="H18" s="3"/>
      <c r="I18" s="6"/>
      <c r="J18" s="7"/>
      <c r="K18" s="3"/>
      <c r="L18" s="6"/>
      <c r="M18" s="8"/>
      <c r="N18" s="9"/>
      <c r="O18" s="9"/>
      <c r="P18" s="10"/>
      <c r="Q18" s="11"/>
      <c r="R18" s="13"/>
      <c r="S18" s="43"/>
    </row>
    <row r="19" spans="1:19" ht="23.25" customHeight="1" x14ac:dyDescent="0.25">
      <c r="A19" s="274">
        <f>'Raw Mill'!A19</f>
        <v>0.66666666666666696</v>
      </c>
      <c r="B19" s="26" t="str">
        <f t="shared" si="1"/>
        <v/>
      </c>
      <c r="C19" s="3"/>
      <c r="D19" s="4"/>
      <c r="E19" s="5"/>
      <c r="F19" s="29"/>
      <c r="G19" s="3"/>
      <c r="H19" s="3"/>
      <c r="I19" s="6"/>
      <c r="J19" s="7"/>
      <c r="K19" s="3"/>
      <c r="L19" s="6"/>
      <c r="M19" s="12"/>
      <c r="N19" s="1"/>
      <c r="O19" s="9"/>
      <c r="P19" s="2"/>
      <c r="Q19" s="11"/>
      <c r="R19" s="10"/>
      <c r="S19" s="43"/>
    </row>
    <row r="20" spans="1:19" ht="23.25" customHeight="1" x14ac:dyDescent="0.25">
      <c r="A20" s="274">
        <f>'Raw Mill'!A20</f>
        <v>0.70833333333333304</v>
      </c>
      <c r="B20" s="26" t="str">
        <f t="shared" si="1"/>
        <v/>
      </c>
      <c r="C20" s="3"/>
      <c r="D20" s="4"/>
      <c r="E20" s="5"/>
      <c r="F20" s="29"/>
      <c r="G20" s="3"/>
      <c r="H20" s="3"/>
      <c r="I20" s="6"/>
      <c r="J20" s="7"/>
      <c r="K20" s="3"/>
      <c r="L20" s="6"/>
      <c r="M20" s="8"/>
      <c r="N20" s="9"/>
      <c r="O20" s="9"/>
      <c r="P20" s="10"/>
      <c r="Q20" s="11"/>
      <c r="R20" s="10"/>
      <c r="S20" s="43"/>
    </row>
    <row r="21" spans="1:19" ht="23.25" customHeight="1" x14ac:dyDescent="0.25">
      <c r="A21" s="274">
        <f>'Raw Mill'!A21</f>
        <v>0.75</v>
      </c>
      <c r="B21" s="26" t="str">
        <f t="shared" si="1"/>
        <v/>
      </c>
      <c r="C21" s="3"/>
      <c r="D21" s="4"/>
      <c r="E21" s="5"/>
      <c r="F21" s="29"/>
      <c r="G21" s="3"/>
      <c r="H21" s="3"/>
      <c r="I21" s="6"/>
      <c r="J21" s="7"/>
      <c r="K21" s="3"/>
      <c r="L21" s="6"/>
      <c r="M21" s="8"/>
      <c r="N21" s="9"/>
      <c r="O21" s="9"/>
      <c r="P21" s="10"/>
      <c r="Q21" s="11"/>
      <c r="R21" s="10"/>
      <c r="S21" s="43"/>
    </row>
    <row r="22" spans="1:19" ht="23.25" customHeight="1" x14ac:dyDescent="0.25">
      <c r="A22" s="274">
        <f>'Raw Mill'!A22</f>
        <v>0.79166666666666696</v>
      </c>
      <c r="B22" s="26" t="str">
        <f t="shared" si="1"/>
        <v/>
      </c>
      <c r="C22" s="3"/>
      <c r="D22" s="4"/>
      <c r="E22" s="5"/>
      <c r="F22" s="29"/>
      <c r="G22" s="3"/>
      <c r="H22" s="3"/>
      <c r="I22" s="6"/>
      <c r="J22" s="7"/>
      <c r="K22" s="3"/>
      <c r="L22" s="6"/>
      <c r="M22" s="8"/>
      <c r="N22" s="9"/>
      <c r="O22" s="9"/>
      <c r="P22" s="10"/>
      <c r="Q22" s="11"/>
      <c r="R22" s="10"/>
      <c r="S22" s="43"/>
    </row>
    <row r="23" spans="1:19" ht="23.25" customHeight="1" x14ac:dyDescent="0.25">
      <c r="A23" s="274">
        <f>'Raw Mill'!A23</f>
        <v>0.83333333333333304</v>
      </c>
      <c r="B23" s="26" t="str">
        <f t="shared" si="1"/>
        <v/>
      </c>
      <c r="C23" s="3"/>
      <c r="D23" s="4"/>
      <c r="E23" s="5"/>
      <c r="F23" s="29"/>
      <c r="G23" s="3"/>
      <c r="H23" s="3"/>
      <c r="I23" s="6"/>
      <c r="J23" s="7"/>
      <c r="K23" s="3"/>
      <c r="L23" s="6"/>
      <c r="M23" s="8"/>
      <c r="N23" s="9"/>
      <c r="O23" s="9"/>
      <c r="P23" s="10"/>
      <c r="Q23" s="11"/>
      <c r="R23" s="10"/>
      <c r="S23" s="43"/>
    </row>
    <row r="24" spans="1:19" ht="23.25" customHeight="1" x14ac:dyDescent="0.25">
      <c r="A24" s="274">
        <f>'Raw Mill'!A24</f>
        <v>0.875</v>
      </c>
      <c r="B24" s="26" t="str">
        <f t="shared" si="1"/>
        <v/>
      </c>
      <c r="C24" s="3"/>
      <c r="D24" s="4"/>
      <c r="E24" s="5"/>
      <c r="F24" s="29"/>
      <c r="G24" s="3"/>
      <c r="H24" s="3"/>
      <c r="I24" s="6"/>
      <c r="J24" s="7"/>
      <c r="K24" s="3"/>
      <c r="L24" s="6"/>
      <c r="M24" s="8"/>
      <c r="N24" s="9"/>
      <c r="O24" s="9"/>
      <c r="P24" s="10"/>
      <c r="Q24" s="11"/>
      <c r="R24" s="10"/>
      <c r="S24" s="43"/>
    </row>
    <row r="25" spans="1:19" ht="23.25" customHeight="1" x14ac:dyDescent="0.25">
      <c r="A25" s="274">
        <f>'Raw Mill'!A25</f>
        <v>0.91666666666666696</v>
      </c>
      <c r="B25" s="26" t="str">
        <f t="shared" si="1"/>
        <v/>
      </c>
      <c r="C25" s="3"/>
      <c r="D25" s="4"/>
      <c r="E25" s="5"/>
      <c r="F25" s="29"/>
      <c r="G25" s="3"/>
      <c r="H25" s="3"/>
      <c r="I25" s="6"/>
      <c r="J25" s="7"/>
      <c r="K25" s="3"/>
      <c r="L25" s="6"/>
      <c r="M25" s="12"/>
      <c r="N25" s="1"/>
      <c r="O25" s="9"/>
      <c r="P25" s="2"/>
      <c r="Q25" s="11"/>
      <c r="R25" s="10"/>
      <c r="S25" s="43"/>
    </row>
    <row r="26" spans="1:19" ht="23.25" customHeight="1" x14ac:dyDescent="0.25">
      <c r="A26" s="274">
        <f>'Raw Mill'!A26</f>
        <v>0.95833333333333304</v>
      </c>
      <c r="B26" s="26" t="str">
        <f t="shared" si="1"/>
        <v/>
      </c>
      <c r="C26" s="3"/>
      <c r="D26" s="4"/>
      <c r="E26" s="5"/>
      <c r="F26" s="30"/>
      <c r="G26" s="3"/>
      <c r="H26" s="3"/>
      <c r="I26" s="6"/>
      <c r="J26" s="7"/>
      <c r="K26" s="3"/>
      <c r="L26" s="6"/>
      <c r="M26" s="8"/>
      <c r="N26" s="9"/>
      <c r="O26" s="9"/>
      <c r="P26" s="10"/>
      <c r="Q26" s="11"/>
      <c r="R26" s="10"/>
      <c r="S26" s="43" t="s">
        <v>85</v>
      </c>
    </row>
    <row r="27" spans="1:19" ht="23.25" customHeight="1" thickBot="1" x14ac:dyDescent="0.3">
      <c r="A27" s="274">
        <f>'Raw Mill'!A27</f>
        <v>1</v>
      </c>
      <c r="B27" s="26">
        <f t="shared" si="1"/>
        <v>90.2</v>
      </c>
      <c r="C27" s="14">
        <v>5.8</v>
      </c>
      <c r="D27" s="15">
        <v>4</v>
      </c>
      <c r="E27" s="16"/>
      <c r="F27" s="31">
        <v>343</v>
      </c>
      <c r="G27" s="14">
        <v>9.76</v>
      </c>
      <c r="H27" s="14">
        <v>2.81</v>
      </c>
      <c r="I27" s="17">
        <v>3.9</v>
      </c>
      <c r="J27" s="18">
        <v>91.46</v>
      </c>
      <c r="K27" s="14">
        <v>55.51</v>
      </c>
      <c r="L27" s="17">
        <v>7.11</v>
      </c>
      <c r="M27" s="12">
        <v>0.3</v>
      </c>
      <c r="N27" s="1">
        <v>0.4</v>
      </c>
      <c r="O27" s="1">
        <v>0.3</v>
      </c>
      <c r="P27" s="2"/>
      <c r="Q27" s="11">
        <v>3</v>
      </c>
      <c r="R27" s="19">
        <v>109</v>
      </c>
      <c r="S27" s="44"/>
    </row>
    <row r="28" spans="1:19" ht="23.25" customHeight="1" thickTop="1" x14ac:dyDescent="0.25">
      <c r="A28" s="275" t="s">
        <v>43</v>
      </c>
      <c r="B28" s="276">
        <f t="shared" ref="B28:L28" si="2">MIN(B4:B27)</f>
        <v>90.2</v>
      </c>
      <c r="C28" s="277">
        <f t="shared" si="2"/>
        <v>5.8</v>
      </c>
      <c r="D28" s="278">
        <f t="shared" si="2"/>
        <v>4</v>
      </c>
      <c r="E28" s="276">
        <f t="shared" si="2"/>
        <v>0</v>
      </c>
      <c r="F28" s="279">
        <f t="shared" si="2"/>
        <v>343</v>
      </c>
      <c r="G28" s="277">
        <f t="shared" si="2"/>
        <v>9.74</v>
      </c>
      <c r="H28" s="277">
        <f t="shared" si="2"/>
        <v>2.81</v>
      </c>
      <c r="I28" s="278">
        <f t="shared" si="2"/>
        <v>3.8</v>
      </c>
      <c r="J28" s="276">
        <f t="shared" si="2"/>
        <v>91.46</v>
      </c>
      <c r="K28" s="277">
        <f t="shared" si="2"/>
        <v>55.51</v>
      </c>
      <c r="L28" s="278">
        <f t="shared" si="2"/>
        <v>6.76</v>
      </c>
      <c r="M28" s="276"/>
      <c r="N28" s="277"/>
      <c r="O28" s="277"/>
      <c r="P28" s="278"/>
      <c r="Q28" s="280"/>
      <c r="R28" s="281">
        <f t="shared" ref="R28" si="3">MIN(R4:R27)</f>
        <v>106</v>
      </c>
      <c r="S28" s="282"/>
    </row>
    <row r="29" spans="1:19" ht="23.25" customHeight="1" x14ac:dyDescent="0.25">
      <c r="A29" s="283" t="s">
        <v>44</v>
      </c>
      <c r="B29" s="284">
        <f t="shared" ref="B29:L29" si="4">MAX(B4:B27)</f>
        <v>90.2</v>
      </c>
      <c r="C29" s="285">
        <f t="shared" si="4"/>
        <v>5.8</v>
      </c>
      <c r="D29" s="286">
        <f t="shared" si="4"/>
        <v>4</v>
      </c>
      <c r="E29" s="284">
        <f t="shared" si="4"/>
        <v>0</v>
      </c>
      <c r="F29" s="287">
        <f t="shared" si="4"/>
        <v>343</v>
      </c>
      <c r="G29" s="285">
        <f t="shared" si="4"/>
        <v>9.76</v>
      </c>
      <c r="H29" s="285">
        <f t="shared" si="4"/>
        <v>2.93</v>
      </c>
      <c r="I29" s="286">
        <f t="shared" si="4"/>
        <v>3.9</v>
      </c>
      <c r="J29" s="284">
        <f t="shared" si="4"/>
        <v>92.13</v>
      </c>
      <c r="K29" s="285">
        <f t="shared" si="4"/>
        <v>56.18</v>
      </c>
      <c r="L29" s="286">
        <f t="shared" si="4"/>
        <v>7.11</v>
      </c>
      <c r="M29" s="284"/>
      <c r="N29" s="285"/>
      <c r="O29" s="285"/>
      <c r="P29" s="286"/>
      <c r="Q29" s="288"/>
      <c r="R29" s="289">
        <f t="shared" ref="R29" si="5">MAX(R4:R27)</f>
        <v>113</v>
      </c>
      <c r="S29" s="290"/>
    </row>
    <row r="30" spans="1:19" ht="23.25" customHeight="1" x14ac:dyDescent="0.25">
      <c r="A30" s="283" t="s">
        <v>10</v>
      </c>
      <c r="B30" s="284">
        <f t="shared" ref="B30:L30" si="6">AVERAGE(B4:B27)</f>
        <v>90.2</v>
      </c>
      <c r="C30" s="285">
        <f t="shared" si="6"/>
        <v>5.8</v>
      </c>
      <c r="D30" s="286">
        <f t="shared" si="6"/>
        <v>4</v>
      </c>
      <c r="E30" s="284" t="e">
        <f t="shared" si="6"/>
        <v>#DIV/0!</v>
      </c>
      <c r="F30" s="287">
        <f t="shared" si="6"/>
        <v>343</v>
      </c>
      <c r="G30" s="285">
        <f t="shared" si="6"/>
        <v>9.75</v>
      </c>
      <c r="H30" s="285">
        <f t="shared" si="6"/>
        <v>2.87</v>
      </c>
      <c r="I30" s="286">
        <f t="shared" si="6"/>
        <v>3.8499999999999996</v>
      </c>
      <c r="J30" s="284">
        <f t="shared" si="6"/>
        <v>91.794999999999987</v>
      </c>
      <c r="K30" s="285">
        <f t="shared" si="6"/>
        <v>55.844999999999999</v>
      </c>
      <c r="L30" s="286">
        <f t="shared" si="6"/>
        <v>6.9350000000000005</v>
      </c>
      <c r="M30" s="284"/>
      <c r="N30" s="285"/>
      <c r="O30" s="285"/>
      <c r="P30" s="286"/>
      <c r="Q30" s="288"/>
      <c r="R30" s="289">
        <f t="shared" ref="R30" si="7">AVERAGE(R4:R27)</f>
        <v>109.33333333333333</v>
      </c>
      <c r="S30" s="290"/>
    </row>
    <row r="31" spans="1:19" ht="23.25" customHeight="1" thickBot="1" x14ac:dyDescent="0.3">
      <c r="A31" s="291" t="s">
        <v>45</v>
      </c>
      <c r="B31" s="292">
        <f t="shared" ref="B31:L31" si="8">STDEV(B4:B27)</f>
        <v>0</v>
      </c>
      <c r="C31" s="293">
        <f t="shared" si="8"/>
        <v>0</v>
      </c>
      <c r="D31" s="294">
        <f t="shared" si="8"/>
        <v>0</v>
      </c>
      <c r="E31" s="292" t="e">
        <f t="shared" si="8"/>
        <v>#DIV/0!</v>
      </c>
      <c r="F31" s="292">
        <f t="shared" si="8"/>
        <v>0</v>
      </c>
      <c r="G31" s="293">
        <f t="shared" si="8"/>
        <v>1.4142135623730649E-2</v>
      </c>
      <c r="H31" s="293">
        <f t="shared" si="8"/>
        <v>8.4852813742385777E-2</v>
      </c>
      <c r="I31" s="294">
        <f t="shared" si="8"/>
        <v>7.0710678118654821E-2</v>
      </c>
      <c r="J31" s="292">
        <f t="shared" si="8"/>
        <v>0.47376154339498805</v>
      </c>
      <c r="K31" s="293">
        <f t="shared" si="8"/>
        <v>0.47376154339498805</v>
      </c>
      <c r="L31" s="294">
        <f t="shared" si="8"/>
        <v>0.24748737341529201</v>
      </c>
      <c r="M31" s="292"/>
      <c r="N31" s="293"/>
      <c r="O31" s="293"/>
      <c r="P31" s="294"/>
      <c r="Q31" s="295"/>
      <c r="R31" s="294">
        <f t="shared" ref="R31" si="9">STDEV(R4:R27)</f>
        <v>3.5118845842842461</v>
      </c>
      <c r="S31" s="296"/>
    </row>
  </sheetData>
  <mergeCells count="13">
    <mergeCell ref="J1:J2"/>
    <mergeCell ref="A1:A2"/>
    <mergeCell ref="B1:E1"/>
    <mergeCell ref="F1:F2"/>
    <mergeCell ref="G1:G2"/>
    <mergeCell ref="H1:H2"/>
    <mergeCell ref="S1:S2"/>
    <mergeCell ref="K1:K2"/>
    <mergeCell ref="L1:L2"/>
    <mergeCell ref="M1:P1"/>
    <mergeCell ref="Q1:Q2"/>
    <mergeCell ref="R1:R2"/>
    <mergeCell ref="I1:I2"/>
  </mergeCells>
  <printOptions horizontalCentered="1"/>
  <pageMargins left="0" right="0" top="0" bottom="0" header="0.3" footer="0.3"/>
  <pageSetup paperSize="9" scale="6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Raw Mill</vt:lpstr>
      <vt:lpstr>Kiln Feed</vt:lpstr>
      <vt:lpstr>Clinker</vt:lpstr>
      <vt:lpstr>Cement Mill 1</vt:lpstr>
      <vt:lpstr>'Cement Mill 1'!Print_Area</vt:lpstr>
      <vt:lpstr>Clinker!Print_Area</vt:lpstr>
      <vt:lpstr>'Kiln Feed'!Print_Area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murugesan thangavel</dc:creator>
  <cp:lastModifiedBy>Mahmoud Gaweesh</cp:lastModifiedBy>
  <cp:lastPrinted>2017-01-24T11:26:12Z</cp:lastPrinted>
  <dcterms:created xsi:type="dcterms:W3CDTF">2006-09-16T00:00:00Z</dcterms:created>
  <dcterms:modified xsi:type="dcterms:W3CDTF">2025-12-10T06:18:11Z</dcterms:modified>
</cp:coreProperties>
</file>