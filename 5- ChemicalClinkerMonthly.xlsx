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dd to new lenovo games\robolab\data\qualityreports\"/>
    </mc:Choice>
  </mc:AlternateContent>
  <bookViews>
    <workbookView xWindow="32760" yWindow="32760" windowWidth="20496" windowHeight="7752" tabRatio="712" activeTab="2"/>
  </bookViews>
  <sheets>
    <sheet name="Raw Meal_SRC" sheetId="45" r:id="rId1"/>
    <sheet name="Kiln Feed_SRC" sheetId="46" r:id="rId2"/>
    <sheet name="5- ChemicalClinkerMonthly" sheetId="47" r:id="rId3"/>
    <sheet name="CM WF_CLINKER" sheetId="36" state="hidden" r:id="rId4"/>
  </sheets>
  <definedNames>
    <definedName name="_xlnm.Print_Area" localSheetId="3">'CM WF_CLINKER'!$A$1:$AF$41</definedName>
  </definedNames>
  <calcPr calcId="162913"/>
</workbook>
</file>

<file path=xl/calcChain.xml><?xml version="1.0" encoding="utf-8"?>
<calcChain xmlns="http://schemas.openxmlformats.org/spreadsheetml/2006/main">
  <c r="L36" i="47" l="1"/>
  <c r="M36" i="47"/>
  <c r="N36" i="47"/>
  <c r="O36" i="47"/>
  <c r="P36" i="47"/>
  <c r="Q36" i="47"/>
  <c r="R36" i="47"/>
  <c r="S36" i="47"/>
  <c r="I36" i="47"/>
  <c r="T36" i="47"/>
  <c r="I35" i="47"/>
  <c r="I34" i="47"/>
  <c r="I33" i="47"/>
  <c r="I32" i="47"/>
  <c r="T32" i="47"/>
  <c r="I31" i="47"/>
  <c r="I30" i="47"/>
  <c r="I29" i="47"/>
  <c r="T29" i="47"/>
  <c r="I28" i="47"/>
  <c r="I27" i="47"/>
  <c r="I26" i="47"/>
  <c r="I25" i="47"/>
  <c r="I24" i="47"/>
  <c r="I23" i="47"/>
  <c r="I22" i="47"/>
  <c r="I21" i="47"/>
  <c r="T21" i="47" s="1"/>
  <c r="I20" i="47"/>
  <c r="I19" i="47"/>
  <c r="I18" i="47"/>
  <c r="I17" i="47"/>
  <c r="I16" i="47"/>
  <c r="I15" i="47"/>
  <c r="I14" i="47"/>
  <c r="T14" i="47" s="1"/>
  <c r="I13" i="47"/>
  <c r="I12" i="47"/>
  <c r="T12" i="47"/>
  <c r="I11" i="47"/>
  <c r="I10" i="47"/>
  <c r="I9" i="47"/>
  <c r="I8" i="47"/>
  <c r="I7" i="47"/>
  <c r="I6" i="47"/>
  <c r="M32" i="46"/>
  <c r="L32" i="46"/>
  <c r="K32" i="46"/>
  <c r="M31" i="46"/>
  <c r="L31" i="46"/>
  <c r="K31" i="46"/>
  <c r="M30" i="46"/>
  <c r="L30" i="46"/>
  <c r="K30" i="46"/>
  <c r="M29" i="46"/>
  <c r="L29" i="46"/>
  <c r="K29" i="46"/>
  <c r="M28" i="46"/>
  <c r="L28" i="46"/>
  <c r="K28" i="46"/>
  <c r="M27" i="46"/>
  <c r="L27" i="46"/>
  <c r="K27" i="46"/>
  <c r="M26" i="46"/>
  <c r="L26" i="46"/>
  <c r="K26" i="46"/>
  <c r="M25" i="46"/>
  <c r="L25" i="46"/>
  <c r="K25" i="46"/>
  <c r="M24" i="46"/>
  <c r="L24" i="46"/>
  <c r="K24" i="46"/>
  <c r="M23" i="46"/>
  <c r="L23" i="46"/>
  <c r="K23" i="46"/>
  <c r="M22" i="46"/>
  <c r="L22" i="46"/>
  <c r="K22" i="46"/>
  <c r="M21" i="46"/>
  <c r="L21" i="46"/>
  <c r="K21" i="46"/>
  <c r="M20" i="46"/>
  <c r="L20" i="46"/>
  <c r="K20" i="46"/>
  <c r="M19" i="46"/>
  <c r="L19" i="46"/>
  <c r="K19" i="46"/>
  <c r="M18" i="46"/>
  <c r="L18" i="46"/>
  <c r="K18" i="46"/>
  <c r="M17" i="46"/>
  <c r="L17" i="46"/>
  <c r="K17" i="46"/>
  <c r="M16" i="46"/>
  <c r="L16" i="46"/>
  <c r="K16" i="46"/>
  <c r="M15" i="46"/>
  <c r="L15" i="46"/>
  <c r="K15" i="46"/>
  <c r="M14" i="46"/>
  <c r="L14" i="46"/>
  <c r="K14" i="46"/>
  <c r="M13" i="46"/>
  <c r="L13" i="46"/>
  <c r="K13" i="46"/>
  <c r="M12" i="46"/>
  <c r="L12" i="46"/>
  <c r="K12" i="46"/>
  <c r="M11" i="46"/>
  <c r="L11" i="46"/>
  <c r="K11" i="46"/>
  <c r="M10" i="46"/>
  <c r="L10" i="46"/>
  <c r="K10" i="46"/>
  <c r="M9" i="46"/>
  <c r="L9" i="46"/>
  <c r="K9" i="46"/>
  <c r="M8" i="46"/>
  <c r="L8" i="46"/>
  <c r="K8" i="46"/>
  <c r="M7" i="46"/>
  <c r="L7" i="46"/>
  <c r="K7" i="46"/>
  <c r="M6" i="46"/>
  <c r="L6" i="46"/>
  <c r="K6" i="46"/>
  <c r="M5" i="46"/>
  <c r="L5" i="46"/>
  <c r="K5" i="46"/>
  <c r="M4" i="46"/>
  <c r="L4" i="46"/>
  <c r="K4" i="46"/>
  <c r="M3" i="46"/>
  <c r="L3" i="46"/>
  <c r="K3" i="46"/>
  <c r="M2" i="46"/>
  <c r="L2" i="46"/>
  <c r="K2" i="46"/>
  <c r="L32" i="45"/>
  <c r="K32" i="45"/>
  <c r="J32" i="45"/>
  <c r="L31" i="45"/>
  <c r="K31" i="45"/>
  <c r="J31" i="45"/>
  <c r="L30" i="45"/>
  <c r="K30" i="45"/>
  <c r="J30" i="45"/>
  <c r="L29" i="45"/>
  <c r="K29" i="45"/>
  <c r="J29" i="45"/>
  <c r="L28" i="45"/>
  <c r="K28" i="45"/>
  <c r="J28" i="45"/>
  <c r="L27" i="45"/>
  <c r="K27" i="45"/>
  <c r="J27" i="45"/>
  <c r="L26" i="45"/>
  <c r="K26" i="45"/>
  <c r="J26" i="45"/>
  <c r="L25" i="45"/>
  <c r="K25" i="45"/>
  <c r="J25" i="45"/>
  <c r="L24" i="45"/>
  <c r="K24" i="45"/>
  <c r="J24" i="45"/>
  <c r="L23" i="45"/>
  <c r="K23" i="45"/>
  <c r="J23" i="45"/>
  <c r="L22" i="45"/>
  <c r="K22" i="45"/>
  <c r="J22" i="45"/>
  <c r="L21" i="45"/>
  <c r="K21" i="45"/>
  <c r="J21" i="45"/>
  <c r="L20" i="45"/>
  <c r="K20" i="45"/>
  <c r="J20" i="45"/>
  <c r="L19" i="45"/>
  <c r="K19" i="45"/>
  <c r="J19" i="45"/>
  <c r="L18" i="45"/>
  <c r="K18" i="45"/>
  <c r="J18" i="45"/>
  <c r="L17" i="45"/>
  <c r="K17" i="45"/>
  <c r="J17" i="45"/>
  <c r="L16" i="45"/>
  <c r="K16" i="45"/>
  <c r="J16" i="45"/>
  <c r="L15" i="45"/>
  <c r="K15" i="45"/>
  <c r="J15" i="45"/>
  <c r="L14" i="45"/>
  <c r="K14" i="45"/>
  <c r="J14" i="45"/>
  <c r="L13" i="45"/>
  <c r="K13" i="45"/>
  <c r="K33" i="45"/>
  <c r="J13" i="45"/>
  <c r="L12" i="45"/>
  <c r="K12" i="45"/>
  <c r="J12" i="45"/>
  <c r="L11" i="45"/>
  <c r="K11" i="45"/>
  <c r="J11" i="45"/>
  <c r="L10" i="45"/>
  <c r="K10" i="45"/>
  <c r="J10" i="45"/>
  <c r="L9" i="45"/>
  <c r="K9" i="45"/>
  <c r="J9" i="45"/>
  <c r="L8" i="45"/>
  <c r="K8" i="45"/>
  <c r="J8" i="45"/>
  <c r="L7" i="45"/>
  <c r="K7" i="45"/>
  <c r="J7" i="45"/>
  <c r="J33" i="45"/>
  <c r="L6" i="45"/>
  <c r="L33" i="45"/>
  <c r="K6" i="45"/>
  <c r="J6" i="45"/>
  <c r="L5" i="45"/>
  <c r="K5" i="45"/>
  <c r="J5" i="45"/>
  <c r="L4" i="45"/>
  <c r="K4" i="45"/>
  <c r="J4" i="45"/>
  <c r="L3" i="45"/>
  <c r="K3" i="45"/>
  <c r="J3" i="45"/>
  <c r="L2" i="45"/>
  <c r="K2" i="45"/>
  <c r="J2" i="45"/>
  <c r="R35" i="47"/>
  <c r="Q35" i="47"/>
  <c r="T35" i="47" s="1"/>
  <c r="O35" i="47"/>
  <c r="P35" i="47"/>
  <c r="N35" i="47"/>
  <c r="M35" i="47"/>
  <c r="L35" i="47"/>
  <c r="R34" i="47"/>
  <c r="Q34" i="47"/>
  <c r="S34" i="47" s="1"/>
  <c r="T34" i="47"/>
  <c r="O34" i="47"/>
  <c r="P34" i="47"/>
  <c r="N34" i="47"/>
  <c r="M34" i="47"/>
  <c r="L34" i="47"/>
  <c r="R33" i="47"/>
  <c r="Q33" i="47"/>
  <c r="O33" i="47"/>
  <c r="P33" i="47"/>
  <c r="N33" i="47"/>
  <c r="M33" i="47"/>
  <c r="L33" i="47"/>
  <c r="R32" i="47"/>
  <c r="Q32" i="47"/>
  <c r="O32" i="47"/>
  <c r="P32" i="47" s="1"/>
  <c r="N32" i="47"/>
  <c r="M32" i="47"/>
  <c r="L32" i="47"/>
  <c r="R31" i="47"/>
  <c r="S31" i="47" s="1"/>
  <c r="Q31" i="47"/>
  <c r="T31" i="47" s="1"/>
  <c r="O31" i="47"/>
  <c r="P31" i="47" s="1"/>
  <c r="N31" i="47"/>
  <c r="M31" i="47"/>
  <c r="L31" i="47"/>
  <c r="R30" i="47"/>
  <c r="S30" i="47" s="1"/>
  <c r="Q30" i="47"/>
  <c r="O30" i="47"/>
  <c r="P30" i="47"/>
  <c r="N30" i="47"/>
  <c r="M30" i="47"/>
  <c r="L30" i="47"/>
  <c r="R29" i="47"/>
  <c r="S29" i="47" s="1"/>
  <c r="Q29" i="47"/>
  <c r="O29" i="47"/>
  <c r="P29" i="47"/>
  <c r="N29" i="47"/>
  <c r="M29" i="47"/>
  <c r="L29" i="47"/>
  <c r="R28" i="47"/>
  <c r="S28" i="47"/>
  <c r="Q28" i="47"/>
  <c r="O28" i="47"/>
  <c r="P28" i="47"/>
  <c r="N28" i="47"/>
  <c r="M28" i="47"/>
  <c r="L28" i="47"/>
  <c r="R27" i="47"/>
  <c r="Q27" i="47"/>
  <c r="T27" i="47" s="1"/>
  <c r="O27" i="47"/>
  <c r="P27" i="47" s="1"/>
  <c r="N27" i="47"/>
  <c r="M27" i="47"/>
  <c r="L27" i="47"/>
  <c r="R26" i="47"/>
  <c r="Q26" i="47"/>
  <c r="O26" i="47"/>
  <c r="P26" i="47"/>
  <c r="N26" i="47"/>
  <c r="M26" i="47"/>
  <c r="L26" i="47"/>
  <c r="R25" i="47"/>
  <c r="Q25" i="47"/>
  <c r="T25" i="47" s="1"/>
  <c r="O25" i="47"/>
  <c r="P25" i="47"/>
  <c r="N25" i="47"/>
  <c r="M25" i="47"/>
  <c r="L25" i="47"/>
  <c r="R24" i="47"/>
  <c r="S24" i="47" s="1"/>
  <c r="Q24" i="47"/>
  <c r="O24" i="47"/>
  <c r="P24" i="47"/>
  <c r="N24" i="47"/>
  <c r="M24" i="47"/>
  <c r="L24" i="47"/>
  <c r="R23" i="47"/>
  <c r="S23" i="47" s="1"/>
  <c r="Q23" i="47"/>
  <c r="T23" i="47" s="1"/>
  <c r="O23" i="47"/>
  <c r="P23" i="47"/>
  <c r="N23" i="47"/>
  <c r="M23" i="47"/>
  <c r="L23" i="47"/>
  <c r="R22" i="47"/>
  <c r="S22" i="47" s="1"/>
  <c r="Q22" i="47"/>
  <c r="T22" i="47"/>
  <c r="O22" i="47"/>
  <c r="P22" i="47"/>
  <c r="N22" i="47"/>
  <c r="M22" i="47"/>
  <c r="L22" i="47"/>
  <c r="R21" i="47"/>
  <c r="S21" i="47"/>
  <c r="Q21" i="47"/>
  <c r="O21" i="47"/>
  <c r="P21" i="47"/>
  <c r="N21" i="47"/>
  <c r="M21" i="47"/>
  <c r="L21" i="47"/>
  <c r="R20" i="47"/>
  <c r="S20" i="47" s="1"/>
  <c r="Q20" i="47"/>
  <c r="O20" i="47"/>
  <c r="P20" i="47"/>
  <c r="N20" i="47"/>
  <c r="M20" i="47"/>
  <c r="L20" i="47"/>
  <c r="R19" i="47"/>
  <c r="S19" i="47" s="1"/>
  <c r="Q19" i="47"/>
  <c r="T19" i="47"/>
  <c r="O19" i="47"/>
  <c r="P19" i="47"/>
  <c r="N19" i="47"/>
  <c r="M19" i="47"/>
  <c r="L19" i="47"/>
  <c r="R18" i="47"/>
  <c r="Q18" i="47"/>
  <c r="O18" i="47"/>
  <c r="P18" i="47"/>
  <c r="N18" i="47"/>
  <c r="M18" i="47"/>
  <c r="L18" i="47"/>
  <c r="R17" i="47"/>
  <c r="S17" i="47" s="1"/>
  <c r="Q17" i="47"/>
  <c r="O17" i="47"/>
  <c r="P17" i="47"/>
  <c r="N17" i="47"/>
  <c r="M17" i="47"/>
  <c r="L17" i="47"/>
  <c r="R16" i="47"/>
  <c r="S16" i="47" s="1"/>
  <c r="Q16" i="47"/>
  <c r="O16" i="47"/>
  <c r="P16" i="47" s="1"/>
  <c r="N16" i="47"/>
  <c r="M16" i="47"/>
  <c r="L16" i="47"/>
  <c r="R15" i="47"/>
  <c r="S15" i="47" s="1"/>
  <c r="Q15" i="47"/>
  <c r="T15" i="47" s="1"/>
  <c r="O15" i="47"/>
  <c r="P15" i="47" s="1"/>
  <c r="N15" i="47"/>
  <c r="M15" i="47"/>
  <c r="L15" i="47"/>
  <c r="R14" i="47"/>
  <c r="Q14" i="47"/>
  <c r="O14" i="47"/>
  <c r="P14" i="47"/>
  <c r="N14" i="47"/>
  <c r="M14" i="47"/>
  <c r="L14" i="47"/>
  <c r="R13" i="47"/>
  <c r="Q13" i="47"/>
  <c r="T13" i="47" s="1"/>
  <c r="O13" i="47"/>
  <c r="P13" i="47"/>
  <c r="N13" i="47"/>
  <c r="M13" i="47"/>
  <c r="L13" i="47"/>
  <c r="R12" i="47"/>
  <c r="Q12" i="47"/>
  <c r="O12" i="47"/>
  <c r="P12" i="47"/>
  <c r="N12" i="47"/>
  <c r="M12" i="47"/>
  <c r="L12" i="47"/>
  <c r="R11" i="47"/>
  <c r="Q11" i="47"/>
  <c r="T11" i="47" s="1"/>
  <c r="S11" i="47"/>
  <c r="O11" i="47"/>
  <c r="P11" i="47" s="1"/>
  <c r="N11" i="47"/>
  <c r="M11" i="47"/>
  <c r="L11" i="47"/>
  <c r="R10" i="47"/>
  <c r="Q10" i="47"/>
  <c r="S10" i="47" s="1"/>
  <c r="O10" i="47"/>
  <c r="P10" i="47"/>
  <c r="N10" i="47"/>
  <c r="M10" i="47"/>
  <c r="L10" i="47"/>
  <c r="R9" i="47"/>
  <c r="Q9" i="47"/>
  <c r="T9" i="47" s="1"/>
  <c r="O9" i="47"/>
  <c r="P9" i="47"/>
  <c r="N9" i="47"/>
  <c r="M9" i="47"/>
  <c r="L9" i="47"/>
  <c r="R8" i="47"/>
  <c r="T8" i="47" s="1"/>
  <c r="Q8" i="47"/>
  <c r="O8" i="47"/>
  <c r="P8" i="47"/>
  <c r="N8" i="47"/>
  <c r="M8" i="47"/>
  <c r="L8" i="47"/>
  <c r="R7" i="47"/>
  <c r="S7" i="47" s="1"/>
  <c r="Q7" i="47"/>
  <c r="T7" i="47" s="1"/>
  <c r="O7" i="47"/>
  <c r="P7" i="47"/>
  <c r="N7" i="47"/>
  <c r="M7" i="47"/>
  <c r="L7" i="47"/>
  <c r="R6" i="47"/>
  <c r="S6" i="47" s="1"/>
  <c r="Q6" i="47"/>
  <c r="T6" i="47" s="1"/>
  <c r="O6" i="47"/>
  <c r="P6" i="47"/>
  <c r="N6" i="47"/>
  <c r="M6" i="47"/>
  <c r="L6" i="47"/>
  <c r="N34" i="46"/>
  <c r="J34" i="46"/>
  <c r="I34" i="46"/>
  <c r="H34" i="46"/>
  <c r="G34" i="46"/>
  <c r="F34" i="46"/>
  <c r="E34" i="46"/>
  <c r="D34" i="46"/>
  <c r="C34" i="46"/>
  <c r="B34" i="46"/>
  <c r="N33" i="46"/>
  <c r="N36" i="46"/>
  <c r="J33" i="46"/>
  <c r="J35" i="46"/>
  <c r="I33" i="46"/>
  <c r="I35" i="46"/>
  <c r="H33" i="46"/>
  <c r="H36" i="46"/>
  <c r="G33" i="46"/>
  <c r="G36" i="46"/>
  <c r="F33" i="46"/>
  <c r="F35" i="46"/>
  <c r="E33" i="46"/>
  <c r="E36" i="46"/>
  <c r="D33" i="46"/>
  <c r="D35" i="46"/>
  <c r="C33" i="46"/>
  <c r="C36" i="46"/>
  <c r="B33" i="46"/>
  <c r="B35" i="46"/>
  <c r="M34" i="45"/>
  <c r="I34" i="45"/>
  <c r="H34" i="45"/>
  <c r="G34" i="45"/>
  <c r="F34" i="45"/>
  <c r="E34" i="45"/>
  <c r="D34" i="45"/>
  <c r="C34" i="45"/>
  <c r="B34" i="45"/>
  <c r="A34" i="45"/>
  <c r="M33" i="45"/>
  <c r="M35" i="45"/>
  <c r="I33" i="45"/>
  <c r="I35" i="45"/>
  <c r="I36" i="45"/>
  <c r="H33" i="45"/>
  <c r="H36" i="45"/>
  <c r="H35" i="45"/>
  <c r="G33" i="45"/>
  <c r="G35" i="45"/>
  <c r="F33" i="45"/>
  <c r="F36" i="45"/>
  <c r="E33" i="45"/>
  <c r="E36" i="45"/>
  <c r="D33" i="45"/>
  <c r="D36" i="45"/>
  <c r="C33" i="45"/>
  <c r="C36" i="45"/>
  <c r="B33" i="45"/>
  <c r="B35" i="45"/>
  <c r="A33" i="45"/>
  <c r="A35" i="45"/>
  <c r="AG52" i="36"/>
  <c r="S52" i="36"/>
  <c r="R52" i="36"/>
  <c r="T52" i="36"/>
  <c r="Q52" i="36"/>
  <c r="AI52" i="36"/>
  <c r="P52" i="36"/>
  <c r="O52" i="36"/>
  <c r="N52" i="36"/>
  <c r="M52" i="36"/>
  <c r="J52" i="36"/>
  <c r="AG51" i="36"/>
  <c r="S51" i="36"/>
  <c r="R51" i="36"/>
  <c r="T51" i="36"/>
  <c r="P51" i="36"/>
  <c r="Q51" i="36"/>
  <c r="AI51" i="36"/>
  <c r="O51" i="36"/>
  <c r="N51" i="36"/>
  <c r="M51" i="36"/>
  <c r="J51" i="36"/>
  <c r="AG50" i="36"/>
  <c r="S50" i="36"/>
  <c r="R50" i="36"/>
  <c r="T50" i="36"/>
  <c r="P50" i="36"/>
  <c r="Q50" i="36"/>
  <c r="AI50" i="36"/>
  <c r="O50" i="36"/>
  <c r="N50" i="36"/>
  <c r="M50" i="36"/>
  <c r="J50" i="36"/>
  <c r="J28" i="36"/>
  <c r="AG49" i="36"/>
  <c r="S49" i="36"/>
  <c r="T49" i="36"/>
  <c r="R49" i="36"/>
  <c r="P49" i="36"/>
  <c r="Q49" i="36"/>
  <c r="AI49" i="36"/>
  <c r="O49" i="36"/>
  <c r="N49" i="36"/>
  <c r="M49" i="36"/>
  <c r="J49" i="36"/>
  <c r="AG48" i="36"/>
  <c r="S48" i="36"/>
  <c r="R48" i="36"/>
  <c r="T48" i="36"/>
  <c r="P48" i="36"/>
  <c r="Q48" i="36"/>
  <c r="AI48" i="36"/>
  <c r="O48" i="36"/>
  <c r="N48" i="36"/>
  <c r="M48" i="36"/>
  <c r="J48" i="36"/>
  <c r="AG47" i="36"/>
  <c r="S47" i="36"/>
  <c r="R47" i="36"/>
  <c r="P47" i="36"/>
  <c r="Q47" i="36"/>
  <c r="AI47" i="36"/>
  <c r="O47" i="36"/>
  <c r="N47" i="36"/>
  <c r="M47" i="36"/>
  <c r="J47" i="36"/>
  <c r="J21" i="36"/>
  <c r="AG46" i="36"/>
  <c r="S46" i="36"/>
  <c r="R46" i="36"/>
  <c r="T46" i="36"/>
  <c r="P46" i="36"/>
  <c r="Q46" i="36"/>
  <c r="AI46" i="36"/>
  <c r="O46" i="36"/>
  <c r="N46" i="36"/>
  <c r="M46" i="36"/>
  <c r="J46" i="36"/>
  <c r="AG45" i="36"/>
  <c r="S45" i="36"/>
  <c r="T45" i="36"/>
  <c r="R45" i="36"/>
  <c r="P45" i="36"/>
  <c r="Q45" i="36"/>
  <c r="AI45" i="36"/>
  <c r="O45" i="36"/>
  <c r="N45" i="36"/>
  <c r="M45" i="36"/>
  <c r="J45" i="36"/>
  <c r="AG44" i="36"/>
  <c r="S44" i="36"/>
  <c r="R44" i="36"/>
  <c r="T44" i="36"/>
  <c r="P44" i="36"/>
  <c r="Q44" i="36"/>
  <c r="AI44" i="36"/>
  <c r="O44" i="36"/>
  <c r="N44" i="36"/>
  <c r="M44" i="36"/>
  <c r="J44" i="36"/>
  <c r="J14" i="36"/>
  <c r="J9" i="36"/>
  <c r="J10" i="36"/>
  <c r="J11" i="36"/>
  <c r="J40" i="36"/>
  <c r="J12" i="36"/>
  <c r="J13" i="36"/>
  <c r="J15" i="36"/>
  <c r="J38" i="36"/>
  <c r="J16" i="36"/>
  <c r="J17" i="36"/>
  <c r="J18" i="36"/>
  <c r="J19" i="36"/>
  <c r="J20" i="36"/>
  <c r="J22" i="36"/>
  <c r="J23" i="36"/>
  <c r="J24" i="36"/>
  <c r="J25" i="36"/>
  <c r="J26" i="36"/>
  <c r="J27" i="36"/>
  <c r="J29" i="36"/>
  <c r="J30" i="36"/>
  <c r="J31" i="36"/>
  <c r="J32" i="36"/>
  <c r="J33" i="36"/>
  <c r="J34" i="36"/>
  <c r="J35" i="36"/>
  <c r="J36" i="36"/>
  <c r="J37" i="36"/>
  <c r="J8" i="36"/>
  <c r="J7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L41" i="36"/>
  <c r="K41" i="36"/>
  <c r="I41" i="36"/>
  <c r="H41" i="36"/>
  <c r="G41" i="36"/>
  <c r="F41" i="36"/>
  <c r="E41" i="36"/>
  <c r="D41" i="36"/>
  <c r="C41" i="36"/>
  <c r="B41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L40" i="36"/>
  <c r="K40" i="36"/>
  <c r="I40" i="36"/>
  <c r="H40" i="36"/>
  <c r="G40" i="36"/>
  <c r="F40" i="36"/>
  <c r="E40" i="36"/>
  <c r="D40" i="36"/>
  <c r="S40" i="36"/>
  <c r="C40" i="36"/>
  <c r="R40" i="36"/>
  <c r="B40" i="36"/>
  <c r="P40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L39" i="36"/>
  <c r="K39" i="36"/>
  <c r="I39" i="36"/>
  <c r="H39" i="36"/>
  <c r="G39" i="36"/>
  <c r="F39" i="36"/>
  <c r="E39" i="36"/>
  <c r="D39" i="36"/>
  <c r="C39" i="36"/>
  <c r="B39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L38" i="36"/>
  <c r="K38" i="36"/>
  <c r="I38" i="36"/>
  <c r="H38" i="36"/>
  <c r="G38" i="36"/>
  <c r="F38" i="36"/>
  <c r="E38" i="36"/>
  <c r="D38" i="36"/>
  <c r="C38" i="36"/>
  <c r="B38" i="36"/>
  <c r="AG37" i="36"/>
  <c r="S37" i="36"/>
  <c r="R37" i="36"/>
  <c r="T37" i="36"/>
  <c r="P37" i="36"/>
  <c r="Q37" i="36"/>
  <c r="AI37" i="36"/>
  <c r="O37" i="36"/>
  <c r="N37" i="36"/>
  <c r="M37" i="36"/>
  <c r="AG36" i="36"/>
  <c r="S36" i="36"/>
  <c r="R36" i="36"/>
  <c r="T36" i="36"/>
  <c r="P36" i="36"/>
  <c r="Q36" i="36"/>
  <c r="AI36" i="36"/>
  <c r="O36" i="36"/>
  <c r="N36" i="36"/>
  <c r="M36" i="36"/>
  <c r="AG35" i="36"/>
  <c r="S35" i="36"/>
  <c r="R35" i="36"/>
  <c r="T35" i="36"/>
  <c r="P35" i="36"/>
  <c r="Q35" i="36"/>
  <c r="AI35" i="36"/>
  <c r="O35" i="36"/>
  <c r="N35" i="36"/>
  <c r="M35" i="36"/>
  <c r="AG34" i="36"/>
  <c r="S34" i="36"/>
  <c r="R34" i="36"/>
  <c r="T34" i="36"/>
  <c r="P34" i="36"/>
  <c r="Q34" i="36"/>
  <c r="AI34" i="36"/>
  <c r="O34" i="36"/>
  <c r="N34" i="36"/>
  <c r="M34" i="36"/>
  <c r="AG33" i="36"/>
  <c r="S33" i="36"/>
  <c r="R33" i="36"/>
  <c r="T33" i="36"/>
  <c r="P33" i="36"/>
  <c r="O33" i="36"/>
  <c r="N33" i="36"/>
  <c r="M33" i="36"/>
  <c r="AG32" i="36"/>
  <c r="S32" i="36"/>
  <c r="R32" i="36"/>
  <c r="T32" i="36"/>
  <c r="P32" i="36"/>
  <c r="O32" i="36"/>
  <c r="N32" i="36"/>
  <c r="M32" i="36"/>
  <c r="AG31" i="36"/>
  <c r="S31" i="36"/>
  <c r="R31" i="36"/>
  <c r="T31" i="36"/>
  <c r="P31" i="36"/>
  <c r="O31" i="36"/>
  <c r="N31" i="36"/>
  <c r="M31" i="36"/>
  <c r="AG30" i="36"/>
  <c r="S30" i="36"/>
  <c r="R30" i="36"/>
  <c r="T30" i="36"/>
  <c r="P30" i="36"/>
  <c r="O30" i="36"/>
  <c r="N30" i="36"/>
  <c r="M30" i="36"/>
  <c r="AG29" i="36"/>
  <c r="S29" i="36"/>
  <c r="R29" i="36"/>
  <c r="T29" i="36"/>
  <c r="P29" i="36"/>
  <c r="Q29" i="36"/>
  <c r="AI29" i="36"/>
  <c r="O29" i="36"/>
  <c r="N29" i="36"/>
  <c r="M29" i="36"/>
  <c r="AG28" i="36"/>
  <c r="S28" i="36"/>
  <c r="R28" i="36"/>
  <c r="T28" i="36"/>
  <c r="P28" i="36"/>
  <c r="Q28" i="36"/>
  <c r="AI28" i="36"/>
  <c r="O28" i="36"/>
  <c r="N28" i="36"/>
  <c r="M28" i="36"/>
  <c r="AG27" i="36"/>
  <c r="S27" i="36"/>
  <c r="R27" i="36"/>
  <c r="T27" i="36"/>
  <c r="P27" i="36"/>
  <c r="O27" i="36"/>
  <c r="N27" i="36"/>
  <c r="M27" i="36"/>
  <c r="AG26" i="36"/>
  <c r="S26" i="36"/>
  <c r="R26" i="36"/>
  <c r="T26" i="36"/>
  <c r="P26" i="36"/>
  <c r="Q26" i="36"/>
  <c r="AI26" i="36"/>
  <c r="O26" i="36"/>
  <c r="N26" i="36"/>
  <c r="M26" i="36"/>
  <c r="AG25" i="36"/>
  <c r="S25" i="36"/>
  <c r="R25" i="36"/>
  <c r="T25" i="36"/>
  <c r="P25" i="36"/>
  <c r="Q25" i="36"/>
  <c r="AI25" i="36"/>
  <c r="O25" i="36"/>
  <c r="N25" i="36"/>
  <c r="M25" i="36"/>
  <c r="AG24" i="36"/>
  <c r="S24" i="36"/>
  <c r="R24" i="36"/>
  <c r="T24" i="36"/>
  <c r="P24" i="36"/>
  <c r="Q24" i="36"/>
  <c r="AI24" i="36"/>
  <c r="O24" i="36"/>
  <c r="N24" i="36"/>
  <c r="M24" i="36"/>
  <c r="AG23" i="36"/>
  <c r="S23" i="36"/>
  <c r="R23" i="36"/>
  <c r="R41" i="36"/>
  <c r="P23" i="36"/>
  <c r="Q23" i="36"/>
  <c r="AI23" i="36"/>
  <c r="O23" i="36"/>
  <c r="N23" i="36"/>
  <c r="M23" i="36"/>
  <c r="AG22" i="36"/>
  <c r="S22" i="36"/>
  <c r="R22" i="36"/>
  <c r="T22" i="36"/>
  <c r="P22" i="36"/>
  <c r="Q22" i="36"/>
  <c r="AI22" i="36"/>
  <c r="O22" i="36"/>
  <c r="N22" i="36"/>
  <c r="M22" i="36"/>
  <c r="AG21" i="36"/>
  <c r="S21" i="36"/>
  <c r="R21" i="36"/>
  <c r="T21" i="36"/>
  <c r="P21" i="36"/>
  <c r="Q21" i="36"/>
  <c r="AI21" i="36"/>
  <c r="O21" i="36"/>
  <c r="N21" i="36"/>
  <c r="M21" i="36"/>
  <c r="AG20" i="36"/>
  <c r="S20" i="36"/>
  <c r="R20" i="36"/>
  <c r="T20" i="36"/>
  <c r="P20" i="36"/>
  <c r="Q20" i="36"/>
  <c r="AI20" i="36"/>
  <c r="O20" i="36"/>
  <c r="N20" i="36"/>
  <c r="M20" i="36"/>
  <c r="AG19" i="36"/>
  <c r="S19" i="36"/>
  <c r="R19" i="36"/>
  <c r="T19" i="36"/>
  <c r="P19" i="36"/>
  <c r="Q19" i="36"/>
  <c r="AI19" i="36"/>
  <c r="O19" i="36"/>
  <c r="N19" i="36"/>
  <c r="M19" i="36"/>
  <c r="AG18" i="36"/>
  <c r="S18" i="36"/>
  <c r="R18" i="36"/>
  <c r="T18" i="36"/>
  <c r="P18" i="36"/>
  <c r="O18" i="36"/>
  <c r="N18" i="36"/>
  <c r="M18" i="36"/>
  <c r="AG17" i="36"/>
  <c r="S17" i="36"/>
  <c r="S39" i="36"/>
  <c r="R17" i="36"/>
  <c r="T17" i="36"/>
  <c r="P17" i="36"/>
  <c r="Q17" i="36"/>
  <c r="AI17" i="36"/>
  <c r="O17" i="36"/>
  <c r="N17" i="36"/>
  <c r="M17" i="36"/>
  <c r="AG16" i="36"/>
  <c r="S16" i="36"/>
  <c r="R16" i="36"/>
  <c r="T16" i="36"/>
  <c r="P16" i="36"/>
  <c r="O16" i="36"/>
  <c r="N16" i="36"/>
  <c r="M16" i="36"/>
  <c r="AG15" i="36"/>
  <c r="S15" i="36"/>
  <c r="R15" i="36"/>
  <c r="T15" i="36"/>
  <c r="P15" i="36"/>
  <c r="Q15" i="36"/>
  <c r="AI15" i="36"/>
  <c r="O15" i="36"/>
  <c r="N15" i="36"/>
  <c r="M15" i="36"/>
  <c r="AG14" i="36"/>
  <c r="S14" i="36"/>
  <c r="R14" i="36"/>
  <c r="T14" i="36"/>
  <c r="P14" i="36"/>
  <c r="O14" i="36"/>
  <c r="N14" i="36"/>
  <c r="M14" i="36"/>
  <c r="AG13" i="36"/>
  <c r="S13" i="36"/>
  <c r="S41" i="36"/>
  <c r="R13" i="36"/>
  <c r="T13" i="36"/>
  <c r="P13" i="36"/>
  <c r="Q13" i="36"/>
  <c r="AI13" i="36"/>
  <c r="O13" i="36"/>
  <c r="N13" i="36"/>
  <c r="M13" i="36"/>
  <c r="AG12" i="36"/>
  <c r="S12" i="36"/>
  <c r="S38" i="36"/>
  <c r="R12" i="36"/>
  <c r="T12" i="36"/>
  <c r="P12" i="36"/>
  <c r="Q12" i="36"/>
  <c r="AI12" i="36"/>
  <c r="O12" i="36"/>
  <c r="O41" i="36"/>
  <c r="N12" i="36"/>
  <c r="M12" i="36"/>
  <c r="AG11" i="36"/>
  <c r="S11" i="36"/>
  <c r="R11" i="36"/>
  <c r="T11" i="36"/>
  <c r="P11" i="36"/>
  <c r="Q11" i="36"/>
  <c r="O11" i="36"/>
  <c r="N11" i="36"/>
  <c r="M11" i="36"/>
  <c r="AG10" i="36"/>
  <c r="S10" i="36"/>
  <c r="R10" i="36"/>
  <c r="T10" i="36"/>
  <c r="P10" i="36"/>
  <c r="O10" i="36"/>
  <c r="N10" i="36"/>
  <c r="N41" i="36"/>
  <c r="M10" i="36"/>
  <c r="M39" i="36"/>
  <c r="AG9" i="36"/>
  <c r="S9" i="36"/>
  <c r="R9" i="36"/>
  <c r="T9" i="36"/>
  <c r="P9" i="36"/>
  <c r="Q9" i="36"/>
  <c r="AI9" i="36"/>
  <c r="O9" i="36"/>
  <c r="N9" i="36"/>
  <c r="M9" i="36"/>
  <c r="AG8" i="36"/>
  <c r="S8" i="36"/>
  <c r="R8" i="36"/>
  <c r="T8" i="36"/>
  <c r="P8" i="36"/>
  <c r="P38" i="36"/>
  <c r="Q8" i="36"/>
  <c r="O8" i="36"/>
  <c r="N8" i="36"/>
  <c r="M8" i="36"/>
  <c r="M38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I7" i="36"/>
  <c r="AG7" i="36"/>
  <c r="AG38" i="36"/>
  <c r="S7" i="36"/>
  <c r="R7" i="36"/>
  <c r="T7" i="36"/>
  <c r="P7" i="36"/>
  <c r="P41" i="36"/>
  <c r="Q7" i="36"/>
  <c r="Q39" i="36"/>
  <c r="O7" i="36"/>
  <c r="N7" i="36"/>
  <c r="M7" i="36"/>
  <c r="Q31" i="36"/>
  <c r="AI31" i="36"/>
  <c r="Q30" i="36"/>
  <c r="AI30" i="36"/>
  <c r="Q14" i="36"/>
  <c r="AI14" i="36"/>
  <c r="Q33" i="36"/>
  <c r="AI33" i="36"/>
  <c r="Q10" i="36"/>
  <c r="AI10" i="36"/>
  <c r="Q18" i="36"/>
  <c r="AI18" i="36"/>
  <c r="Q27" i="36"/>
  <c r="AI27" i="36"/>
  <c r="Q32" i="36"/>
  <c r="AI32" i="36"/>
  <c r="Q16" i="36"/>
  <c r="AI16" i="36"/>
  <c r="M40" i="36"/>
  <c r="Q40" i="36"/>
  <c r="N40" i="36"/>
  <c r="AI11" i="36"/>
  <c r="O40" i="36"/>
  <c r="AG40" i="36"/>
  <c r="AI8" i="36"/>
  <c r="O38" i="36"/>
  <c r="J39" i="36"/>
  <c r="T47" i="36"/>
  <c r="J41" i="36"/>
  <c r="N35" i="46"/>
  <c r="E35" i="45"/>
  <c r="I36" i="46"/>
  <c r="G35" i="46"/>
  <c r="C35" i="46"/>
  <c r="M36" i="45"/>
  <c r="F36" i="46"/>
  <c r="D35" i="45"/>
  <c r="F35" i="45"/>
  <c r="S18" i="47"/>
  <c r="M33" i="46"/>
  <c r="M36" i="46"/>
  <c r="E35" i="46"/>
  <c r="H35" i="46"/>
  <c r="K34" i="46"/>
  <c r="L33" i="46"/>
  <c r="L35" i="46"/>
  <c r="J36" i="46"/>
  <c r="L34" i="46"/>
  <c r="K33" i="46"/>
  <c r="K35" i="46"/>
  <c r="J34" i="45"/>
  <c r="A36" i="45"/>
  <c r="AI39" i="36"/>
  <c r="T40" i="36"/>
  <c r="AI38" i="36"/>
  <c r="D36" i="46"/>
  <c r="N38" i="36"/>
  <c r="B36" i="46"/>
  <c r="R39" i="36"/>
  <c r="G36" i="45"/>
  <c r="R38" i="36"/>
  <c r="Q41" i="36"/>
  <c r="O39" i="36"/>
  <c r="AG39" i="36"/>
  <c r="Q38" i="36"/>
  <c r="C35" i="45"/>
  <c r="N39" i="36"/>
  <c r="AG41" i="36"/>
  <c r="M41" i="36"/>
  <c r="T23" i="36"/>
  <c r="T38" i="36"/>
  <c r="T18" i="47"/>
  <c r="M34" i="46"/>
  <c r="P39" i="36"/>
  <c r="M35" i="46"/>
  <c r="K36" i="46"/>
  <c r="L36" i="46"/>
  <c r="T41" i="36"/>
  <c r="T39" i="36"/>
  <c r="AI40" i="36"/>
  <c r="AI41" i="36"/>
  <c r="K35" i="45"/>
  <c r="K36" i="45"/>
  <c r="L35" i="45"/>
  <c r="L36" i="45"/>
  <c r="J36" i="45"/>
  <c r="J35" i="45"/>
  <c r="L34" i="45"/>
  <c r="B36" i="45"/>
  <c r="K34" i="45"/>
  <c r="T17" i="47"/>
  <c r="S33" i="47"/>
  <c r="S9" i="47"/>
  <c r="T10" i="47"/>
  <c r="S14" i="47"/>
  <c r="S25" i="47"/>
  <c r="T28" i="47"/>
  <c r="T26" i="47"/>
  <c r="S26" i="47"/>
  <c r="T30" i="47"/>
  <c r="S12" i="47"/>
  <c r="S32" i="47"/>
  <c r="T33" i="47"/>
  <c r="T24" i="47"/>
  <c r="S8" i="47" l="1"/>
  <c r="S13" i="47"/>
  <c r="T20" i="47"/>
  <c r="S35" i="47"/>
  <c r="T16" i="47"/>
  <c r="S27" i="47"/>
</calcChain>
</file>

<file path=xl/sharedStrings.xml><?xml version="1.0" encoding="utf-8"?>
<sst xmlns="http://schemas.openxmlformats.org/spreadsheetml/2006/main" count="129" uniqueCount="73">
  <si>
    <t>CaO</t>
  </si>
  <si>
    <t>MgO</t>
  </si>
  <si>
    <t>LSF</t>
  </si>
  <si>
    <t>A/F</t>
  </si>
  <si>
    <t>PHYSICAL PROPERTIES</t>
  </si>
  <si>
    <t>DATE</t>
  </si>
  <si>
    <t>S/R</t>
  </si>
  <si>
    <t>CHEMICAL COMPOSITION</t>
  </si>
  <si>
    <t>Soundness</t>
  </si>
  <si>
    <t>Setting Time           ( Minutes )</t>
  </si>
  <si>
    <t>Le-chatelier   (mm)</t>
  </si>
  <si>
    <t>Auto clave   (%)</t>
  </si>
  <si>
    <t>Initial</t>
  </si>
  <si>
    <t>Final</t>
  </si>
  <si>
    <t>3 Days</t>
  </si>
  <si>
    <t>7 Days</t>
  </si>
  <si>
    <t>28 Days</t>
  </si>
  <si>
    <t>Minimum</t>
  </si>
  <si>
    <t>Maximum</t>
  </si>
  <si>
    <t>Average</t>
  </si>
  <si>
    <t>Std Dev</t>
  </si>
  <si>
    <r>
      <t xml:space="preserve">Residue 90 </t>
    </r>
    <r>
      <rPr>
        <b/>
        <sz val="12"/>
        <rFont val="Symbol"/>
        <family val="1"/>
        <charset val="2"/>
      </rPr>
      <t xml:space="preserve">m </t>
    </r>
    <r>
      <rPr>
        <b/>
        <sz val="12"/>
        <rFont val="Arial"/>
        <family val="2"/>
      </rPr>
      <t xml:space="preserve">     (%)</t>
    </r>
  </si>
  <si>
    <t>Remarks</t>
  </si>
  <si>
    <r>
      <t>Blaine (m</t>
    </r>
    <r>
      <rPr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>/kg)</t>
    </r>
  </si>
  <si>
    <t>N.C.  (%)</t>
  </si>
  <si>
    <t>Comp. Strength                    (MPa)</t>
  </si>
  <si>
    <t>HAIL CEMENT COMPANY</t>
  </si>
  <si>
    <t>PHASE COMPOSITION</t>
  </si>
  <si>
    <t>MODULIE</t>
  </si>
  <si>
    <r>
      <t>Cl</t>
    </r>
    <r>
      <rPr>
        <b/>
        <vertAlign val="superscript"/>
        <sz val="11"/>
        <rFont val="Arial"/>
        <family val="2"/>
      </rPr>
      <t>-</t>
    </r>
  </si>
  <si>
    <t>LITER WEIGHT (gm/ltr)</t>
  </si>
  <si>
    <t>Free           CaO</t>
  </si>
  <si>
    <t>Liquid</t>
  </si>
  <si>
    <t xml:space="preserve">TEST RESULTS OF DAY AVERAGE CLINKER </t>
  </si>
  <si>
    <t xml:space="preserve"> </t>
  </si>
  <si>
    <t>March '2014</t>
  </si>
  <si>
    <r>
      <t>C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S (Without F CaO)</t>
    </r>
  </si>
  <si>
    <r>
      <t>C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S   (with       F CaO)</t>
    </r>
  </si>
  <si>
    <r>
      <t>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S</t>
    </r>
  </si>
  <si>
    <r>
      <t>C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A</t>
    </r>
  </si>
  <si>
    <r>
      <t>C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AF</t>
    </r>
  </si>
  <si>
    <r>
      <t>SiO</t>
    </r>
    <r>
      <rPr>
        <b/>
        <vertAlign val="subscript"/>
        <sz val="11"/>
        <rFont val="Arial"/>
        <family val="2"/>
      </rPr>
      <t>2</t>
    </r>
  </si>
  <si>
    <r>
      <t>Al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</t>
    </r>
    <r>
      <rPr>
        <b/>
        <vertAlign val="subscript"/>
        <sz val="11"/>
        <rFont val="Arial"/>
        <family val="2"/>
      </rPr>
      <t>3</t>
    </r>
  </si>
  <si>
    <r>
      <t>Fe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</t>
    </r>
    <r>
      <rPr>
        <b/>
        <vertAlign val="subscript"/>
        <sz val="11"/>
        <rFont val="Arial"/>
        <family val="2"/>
      </rPr>
      <t>3</t>
    </r>
  </si>
  <si>
    <r>
      <t>SO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 xml:space="preserve"> </t>
    </r>
  </si>
  <si>
    <r>
      <t>K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</t>
    </r>
  </si>
  <si>
    <r>
      <t>Na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</t>
    </r>
  </si>
  <si>
    <r>
      <t>Total Alkalies as Na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</t>
    </r>
  </si>
  <si>
    <t>SRC Clinker</t>
  </si>
  <si>
    <t>June '2015</t>
  </si>
  <si>
    <t>Date</t>
  </si>
  <si>
    <t>SM</t>
  </si>
  <si>
    <t>AM</t>
  </si>
  <si>
    <t xml:space="preserve">Average </t>
  </si>
  <si>
    <t>STD</t>
  </si>
  <si>
    <t>Max</t>
  </si>
  <si>
    <t>Min</t>
  </si>
  <si>
    <r>
      <t>SO</t>
    </r>
    <r>
      <rPr>
        <b/>
        <vertAlign val="subscript"/>
        <sz val="11"/>
        <rFont val="Arial"/>
        <family val="2"/>
      </rPr>
      <t>3</t>
    </r>
  </si>
  <si>
    <r>
      <t>Cl</t>
    </r>
    <r>
      <rPr>
        <b/>
        <vertAlign val="superscript"/>
        <sz val="14"/>
        <rFont val="Arial"/>
        <family val="2"/>
      </rPr>
      <t>-</t>
    </r>
  </si>
  <si>
    <r>
      <t xml:space="preserve">90 </t>
    </r>
    <r>
      <rPr>
        <b/>
        <sz val="12"/>
        <rFont val="Symbol"/>
        <family val="1"/>
        <charset val="2"/>
      </rPr>
      <t>m</t>
    </r>
  </si>
  <si>
    <t>K2O</t>
  </si>
  <si>
    <t>HIMS-L3-F-03-03.03.06</t>
  </si>
  <si>
    <t>Cl</t>
  </si>
  <si>
    <t>90m</t>
  </si>
  <si>
    <r>
      <t>C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AFplus2C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A</t>
    </r>
  </si>
  <si>
    <t>litreweight</t>
  </si>
  <si>
    <t>FreeCaO</t>
  </si>
  <si>
    <t>SR</t>
  </si>
  <si>
    <t>AF</t>
  </si>
  <si>
    <t>C3S</t>
  </si>
  <si>
    <t>C2S</t>
  </si>
  <si>
    <t>C3A</t>
  </si>
  <si>
    <t>C4AF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</si>
</sst>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0" formatCode="d\-mm\-yy"/>
    <numFmt numFmtId="181" formatCode="0.0"/>
    <numFmt numFmtId="182" formatCode="0.000"/>
    <numFmt numFmtId="189" formatCode="[$-409]d\-mmm\-yy;@"/>
  </numFmts>
  <fonts count="2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u/>
      <sz val="18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b/>
      <sz val="12"/>
      <name val="Symbol"/>
      <family val="1"/>
      <charset val="2"/>
    </font>
    <font>
      <sz val="12"/>
      <name val="Arial"/>
      <family val="2"/>
    </font>
    <font>
      <b/>
      <sz val="20"/>
      <name val="Arial"/>
      <family val="2"/>
    </font>
    <font>
      <b/>
      <i/>
      <sz val="14"/>
      <name val="Arial"/>
      <family val="2"/>
    </font>
    <font>
      <b/>
      <vertAlign val="subscript"/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vertAlign val="superscript"/>
      <sz val="14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8" fillId="0" borderId="0"/>
  </cellStyleXfs>
  <cellXfs count="318">
    <xf numFmtId="0" fontId="0" fillId="0" borderId="0" xfId="0"/>
    <xf numFmtId="181" fontId="5" fillId="0" borderId="1" xfId="0" applyNumberFormat="1" applyFont="1" applyFill="1" applyBorder="1" applyAlignment="1">
      <alignment horizontal="center" vertical="center"/>
    </xf>
    <xf numFmtId="181" fontId="0" fillId="0" borderId="1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2" fontId="5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2" fontId="5" fillId="0" borderId="1" xfId="0" quotePrefix="1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82" fontId="0" fillId="0" borderId="1" xfId="0" applyNumberFormat="1" applyFill="1" applyBorder="1" applyAlignment="1">
      <alignment horizontal="center" vertical="center" wrapText="1"/>
    </xf>
    <xf numFmtId="181" fontId="0" fillId="0" borderId="1" xfId="0" applyNumberFormat="1" applyFill="1" applyBorder="1" applyAlignment="1">
      <alignment horizontal="center" vertical="center" wrapText="1"/>
    </xf>
    <xf numFmtId="181" fontId="0" fillId="0" borderId="1" xfId="0" quotePrefix="1" applyNumberForma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82" fontId="5" fillId="0" borderId="1" xfId="0" applyNumberFormat="1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181" fontId="0" fillId="0" borderId="4" xfId="0" quotePrefix="1" applyNumberForma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2" fontId="0" fillId="0" borderId="3" xfId="0" applyNumberForma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0" fontId="5" fillId="0" borderId="5" xfId="0" quotePrefix="1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181" fontId="0" fillId="0" borderId="5" xfId="0" applyNumberForma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/>
    </xf>
    <xf numFmtId="181" fontId="0" fillId="0" borderId="8" xfId="0" applyNumberFormat="1" applyFill="1" applyBorder="1" applyAlignment="1">
      <alignment horizontal="center" vertical="center"/>
    </xf>
    <xf numFmtId="181" fontId="0" fillId="0" borderId="2" xfId="0" applyNumberFormat="1" applyFill="1" applyBorder="1" applyAlignment="1">
      <alignment horizontal="center" vertical="center"/>
    </xf>
    <xf numFmtId="2" fontId="8" fillId="0" borderId="9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2" fontId="10" fillId="0" borderId="10" xfId="0" applyNumberFormat="1" applyFont="1" applyFill="1" applyBorder="1" applyAlignment="1">
      <alignment horizontal="center" vertical="center"/>
    </xf>
    <xf numFmtId="2" fontId="8" fillId="0" borderId="11" xfId="0" applyNumberFormat="1" applyFont="1" applyFill="1" applyBorder="1" applyAlignment="1">
      <alignment horizontal="center" vertical="center"/>
    </xf>
    <xf numFmtId="2" fontId="8" fillId="0" borderId="12" xfId="0" applyNumberFormat="1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0" xfId="0" applyNumberFormat="1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2" fontId="8" fillId="0" borderId="3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4" xfId="0" applyNumberFormat="1" applyFont="1" applyFill="1" applyBorder="1" applyAlignment="1">
      <alignment horizontal="center" vertical="center"/>
    </xf>
    <xf numFmtId="2" fontId="10" fillId="0" borderId="3" xfId="0" applyNumberFormat="1" applyFont="1" applyFill="1" applyBorder="1" applyAlignment="1">
      <alignment horizontal="center" vertical="center"/>
    </xf>
    <xf numFmtId="2" fontId="8" fillId="0" borderId="15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2" fontId="10" fillId="0" borderId="17" xfId="0" applyNumberFormat="1" applyFont="1" applyFill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1" fontId="8" fillId="0" borderId="13" xfId="0" applyNumberFormat="1" applyFont="1" applyFill="1" applyBorder="1" applyAlignment="1">
      <alignment horizontal="center" vertical="center"/>
    </xf>
    <xf numFmtId="1" fontId="8" fillId="0" borderId="18" xfId="0" applyNumberFormat="1" applyFont="1" applyFill="1" applyBorder="1" applyAlignment="1">
      <alignment horizontal="center" vertical="center"/>
    </xf>
    <xf numFmtId="2" fontId="8" fillId="0" borderId="19" xfId="0" applyNumberFormat="1" applyFont="1" applyFill="1" applyBorder="1" applyAlignment="1">
      <alignment horizontal="center" vertical="center"/>
    </xf>
    <xf numFmtId="2" fontId="8" fillId="0" borderId="20" xfId="0" applyNumberFormat="1" applyFont="1" applyFill="1" applyBorder="1" applyAlignment="1">
      <alignment horizontal="center" vertical="center"/>
    </xf>
    <xf numFmtId="2" fontId="10" fillId="0" borderId="9" xfId="0" applyNumberFormat="1" applyFont="1" applyFill="1" applyBorder="1" applyAlignment="1">
      <alignment horizontal="center" vertical="center"/>
    </xf>
    <xf numFmtId="2" fontId="10" fillId="0" borderId="11" xfId="0" applyNumberFormat="1" applyFont="1" applyFill="1" applyBorder="1" applyAlignment="1">
      <alignment horizontal="center" vertical="center"/>
    </xf>
    <xf numFmtId="2" fontId="10" fillId="0" borderId="15" xfId="0" applyNumberFormat="1" applyFont="1" applyFill="1" applyBorder="1" applyAlignment="1">
      <alignment horizontal="center" vertical="center"/>
    </xf>
    <xf numFmtId="2" fontId="10" fillId="0" borderId="21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180" fontId="0" fillId="0" borderId="24" xfId="0" applyNumberFormat="1" applyFill="1" applyBorder="1" applyAlignment="1">
      <alignment horizontal="center" vertical="center"/>
    </xf>
    <xf numFmtId="180" fontId="0" fillId="0" borderId="25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8" fillId="0" borderId="13" xfId="0" applyNumberFormat="1" applyFont="1" applyFill="1" applyBorder="1" applyAlignment="1">
      <alignment horizontal="center" vertical="center" wrapText="1"/>
    </xf>
    <xf numFmtId="180" fontId="0" fillId="0" borderId="26" xfId="0" applyNumberFormat="1" applyFill="1" applyBorder="1" applyAlignment="1">
      <alignment horizontal="center" vertical="center"/>
    </xf>
    <xf numFmtId="2" fontId="8" fillId="0" borderId="27" xfId="0" applyNumberFormat="1" applyFont="1" applyFill="1" applyBorder="1" applyAlignment="1">
      <alignment horizontal="center" vertical="center"/>
    </xf>
    <xf numFmtId="2" fontId="10" fillId="0" borderId="28" xfId="0" applyNumberFormat="1" applyFont="1" applyFill="1" applyBorder="1" applyAlignment="1">
      <alignment horizontal="center" vertical="center"/>
    </xf>
    <xf numFmtId="1" fontId="10" fillId="0" borderId="29" xfId="0" applyNumberFormat="1" applyFont="1" applyFill="1" applyBorder="1" applyAlignment="1">
      <alignment horizontal="center" vertical="center"/>
    </xf>
    <xf numFmtId="2" fontId="10" fillId="0" borderId="30" xfId="0" applyNumberFormat="1" applyFont="1" applyFill="1" applyBorder="1" applyAlignment="1">
      <alignment horizontal="center" vertical="center"/>
    </xf>
    <xf numFmtId="2" fontId="10" fillId="0" borderId="31" xfId="0" applyNumberFormat="1" applyFont="1" applyFill="1" applyBorder="1" applyAlignment="1">
      <alignment horizontal="center" vertical="center"/>
    </xf>
    <xf numFmtId="1" fontId="10" fillId="0" borderId="13" xfId="0" applyNumberFormat="1" applyFont="1" applyFill="1" applyBorder="1" applyAlignment="1">
      <alignment horizontal="center" vertical="center"/>
    </xf>
    <xf numFmtId="2" fontId="10" fillId="0" borderId="32" xfId="0" applyNumberFormat="1" applyFont="1" applyFill="1" applyBorder="1" applyAlignment="1">
      <alignment horizontal="center" vertical="center"/>
    </xf>
    <xf numFmtId="2" fontId="10" fillId="0" borderId="33" xfId="0" applyNumberFormat="1" applyFont="1" applyFill="1" applyBorder="1" applyAlignment="1">
      <alignment horizontal="center" vertical="center"/>
    </xf>
    <xf numFmtId="2" fontId="10" fillId="0" borderId="34" xfId="0" applyNumberFormat="1" applyFont="1" applyFill="1" applyBorder="1" applyAlignment="1">
      <alignment horizontal="center" vertical="center"/>
    </xf>
    <xf numFmtId="2" fontId="10" fillId="0" borderId="35" xfId="0" applyNumberFormat="1" applyFont="1" applyFill="1" applyBorder="1" applyAlignment="1">
      <alignment horizontal="center" vertical="center"/>
    </xf>
    <xf numFmtId="2" fontId="10" fillId="0" borderId="36" xfId="0" applyNumberFormat="1" applyFont="1" applyFill="1" applyBorder="1" applyAlignment="1">
      <alignment horizontal="center" vertical="center"/>
    </xf>
    <xf numFmtId="2" fontId="10" fillId="0" borderId="37" xfId="0" applyNumberFormat="1" applyFont="1" applyFill="1" applyBorder="1" applyAlignment="1">
      <alignment horizontal="center" vertical="center"/>
    </xf>
    <xf numFmtId="2" fontId="10" fillId="0" borderId="38" xfId="0" applyNumberFormat="1" applyFont="1" applyFill="1" applyBorder="1" applyAlignment="1">
      <alignment horizontal="center" vertical="center"/>
    </xf>
    <xf numFmtId="15" fontId="2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81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2" fontId="2" fillId="2" borderId="1" xfId="0" applyNumberFormat="1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10" xfId="0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1" fontId="2" fillId="2" borderId="13" xfId="0" applyNumberFormat="1" applyFont="1" applyFill="1" applyBorder="1" applyAlignment="1">
      <alignment horizontal="center" vertical="center"/>
    </xf>
    <xf numFmtId="2" fontId="2" fillId="2" borderId="21" xfId="0" applyNumberFormat="1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180" fontId="5" fillId="0" borderId="25" xfId="0" applyNumberFormat="1" applyFont="1" applyFill="1" applyBorder="1" applyAlignment="1">
      <alignment horizontal="center" vertical="center"/>
    </xf>
    <xf numFmtId="180" fontId="0" fillId="0" borderId="40" xfId="0" applyNumberFormat="1" applyFill="1" applyBorder="1" applyAlignment="1">
      <alignment horizontal="center" vertical="center"/>
    </xf>
    <xf numFmtId="180" fontId="0" fillId="0" borderId="41" xfId="0" applyNumberForma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2" fontId="8" fillId="4" borderId="13" xfId="0" applyNumberFormat="1" applyFont="1" applyFill="1" applyBorder="1" applyAlignment="1">
      <alignment horizontal="center" vertical="center"/>
    </xf>
    <xf numFmtId="2" fontId="8" fillId="4" borderId="12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4" borderId="10" xfId="0" applyNumberFormat="1" applyFont="1" applyFill="1" applyBorder="1" applyAlignment="1">
      <alignment horizontal="center" vertical="center"/>
    </xf>
    <xf numFmtId="2" fontId="8" fillId="4" borderId="42" xfId="0" applyNumberFormat="1" applyFont="1" applyFill="1" applyBorder="1" applyAlignment="1" applyProtection="1">
      <alignment horizontal="center" vertical="center"/>
      <protection locked="0"/>
    </xf>
    <xf numFmtId="2" fontId="8" fillId="4" borderId="5" xfId="0" applyNumberFormat="1" applyFont="1" applyFill="1" applyBorder="1" applyAlignment="1" applyProtection="1">
      <alignment horizontal="center" vertical="center"/>
      <protection locked="0"/>
    </xf>
    <xf numFmtId="2" fontId="8" fillId="4" borderId="14" xfId="0" applyNumberFormat="1" applyFont="1" applyFill="1" applyBorder="1" applyAlignment="1" applyProtection="1">
      <alignment horizontal="center" vertical="center"/>
      <protection locked="0"/>
    </xf>
    <xf numFmtId="0" fontId="14" fillId="4" borderId="43" xfId="0" applyFont="1" applyFill="1" applyBorder="1" applyAlignment="1" applyProtection="1">
      <alignment horizontal="center" vertical="center"/>
      <protection locked="0"/>
    </xf>
    <xf numFmtId="0" fontId="14" fillId="4" borderId="44" xfId="0" applyFont="1" applyFill="1" applyBorder="1" applyAlignment="1" applyProtection="1">
      <alignment horizontal="center" vertical="center"/>
      <protection locked="0"/>
    </xf>
    <xf numFmtId="0" fontId="14" fillId="4" borderId="45" xfId="0" applyFont="1" applyFill="1" applyBorder="1" applyAlignment="1" applyProtection="1">
      <alignment horizontal="center" vertical="center"/>
      <protection locked="0"/>
    </xf>
    <xf numFmtId="0" fontId="14" fillId="4" borderId="46" xfId="0" applyFont="1" applyFill="1" applyBorder="1" applyAlignment="1" applyProtection="1">
      <alignment horizontal="center" vertical="center"/>
      <protection locked="0"/>
    </xf>
    <xf numFmtId="0" fontId="14" fillId="4" borderId="47" xfId="0" applyFont="1" applyFill="1" applyBorder="1" applyAlignment="1" applyProtection="1">
      <alignment horizontal="center" vertical="center"/>
      <protection locked="0"/>
    </xf>
    <xf numFmtId="0" fontId="0" fillId="4" borderId="0" xfId="0" applyFill="1"/>
    <xf numFmtId="2" fontId="8" fillId="4" borderId="17" xfId="0" applyNumberFormat="1" applyFont="1" applyFill="1" applyBorder="1" applyAlignment="1" applyProtection="1">
      <alignment horizontal="center" vertical="center"/>
      <protection locked="0"/>
    </xf>
    <xf numFmtId="2" fontId="8" fillId="4" borderId="9" xfId="0" applyNumberFormat="1" applyFont="1" applyFill="1" applyBorder="1" applyAlignment="1" applyProtection="1">
      <alignment horizontal="center" vertical="center"/>
      <protection locked="0"/>
    </xf>
    <xf numFmtId="2" fontId="8" fillId="4" borderId="11" xfId="0" applyNumberFormat="1" applyFont="1" applyFill="1" applyBorder="1" applyAlignment="1" applyProtection="1">
      <alignment horizontal="center" vertical="center"/>
      <protection locked="0"/>
    </xf>
    <xf numFmtId="2" fontId="8" fillId="4" borderId="16" xfId="0" applyNumberFormat="1" applyFont="1" applyFill="1" applyBorder="1" applyAlignment="1">
      <alignment horizontal="center" vertical="center"/>
    </xf>
    <xf numFmtId="2" fontId="8" fillId="4" borderId="9" xfId="0" applyNumberFormat="1" applyFont="1" applyFill="1" applyBorder="1" applyAlignment="1">
      <alignment horizontal="center" vertical="center"/>
    </xf>
    <xf numFmtId="2" fontId="8" fillId="4" borderId="11" xfId="0" applyNumberFormat="1" applyFont="1" applyFill="1" applyBorder="1" applyAlignment="1">
      <alignment horizontal="center" vertical="center"/>
    </xf>
    <xf numFmtId="2" fontId="8" fillId="4" borderId="29" xfId="0" applyNumberFormat="1" applyFont="1" applyFill="1" applyBorder="1" applyAlignment="1">
      <alignment horizontal="center" vertical="center"/>
    </xf>
    <xf numFmtId="189" fontId="10" fillId="4" borderId="48" xfId="0" applyNumberFormat="1" applyFont="1" applyFill="1" applyBorder="1" applyAlignment="1">
      <alignment horizontal="center" vertical="center"/>
    </xf>
    <xf numFmtId="2" fontId="8" fillId="4" borderId="12" xfId="0" applyNumberFormat="1" applyFont="1" applyFill="1" applyBorder="1" applyAlignment="1" applyProtection="1">
      <alignment horizontal="center" vertical="center"/>
      <protection locked="0"/>
    </xf>
    <xf numFmtId="2" fontId="8" fillId="4" borderId="1" xfId="0" applyNumberFormat="1" applyFont="1" applyFill="1" applyBorder="1" applyAlignment="1" applyProtection="1">
      <alignment horizontal="center" vertical="center"/>
      <protection locked="0"/>
    </xf>
    <xf numFmtId="2" fontId="8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4" borderId="12" xfId="0" applyNumberFormat="1" applyFont="1" applyFill="1" applyBorder="1" applyAlignment="1" applyProtection="1">
      <alignment horizontal="center" vertical="center"/>
    </xf>
    <xf numFmtId="2" fontId="21" fillId="4" borderId="1" xfId="0" applyNumberFormat="1" applyFont="1" applyFill="1" applyBorder="1" applyAlignment="1" applyProtection="1">
      <alignment horizontal="center" vertical="center"/>
    </xf>
    <xf numFmtId="2" fontId="21" fillId="4" borderId="10" xfId="0" applyNumberFormat="1" applyFont="1" applyFill="1" applyBorder="1" applyAlignment="1" applyProtection="1">
      <alignment horizontal="center" vertical="center"/>
    </xf>
    <xf numFmtId="2" fontId="10" fillId="4" borderId="49" xfId="0" applyNumberFormat="1" applyFont="1" applyFill="1" applyBorder="1" applyAlignment="1">
      <alignment horizontal="center" vertical="center"/>
    </xf>
    <xf numFmtId="2" fontId="10" fillId="4" borderId="9" xfId="0" applyNumberFormat="1" applyFont="1" applyFill="1" applyBorder="1" applyAlignment="1">
      <alignment horizontal="center" vertical="center"/>
    </xf>
    <xf numFmtId="2" fontId="10" fillId="4" borderId="11" xfId="0" applyNumberFormat="1" applyFont="1" applyFill="1" applyBorder="1" applyAlignment="1">
      <alignment horizontal="center" vertical="center"/>
    </xf>
    <xf numFmtId="2" fontId="10" fillId="4" borderId="17" xfId="0" applyNumberFormat="1" applyFont="1" applyFill="1" applyBorder="1" applyAlignment="1">
      <alignment horizontal="center" vertical="center"/>
    </xf>
    <xf numFmtId="2" fontId="10" fillId="4" borderId="30" xfId="0" applyNumberFormat="1" applyFont="1" applyFill="1" applyBorder="1" applyAlignment="1">
      <alignment horizontal="center" vertical="center"/>
    </xf>
    <xf numFmtId="2" fontId="10" fillId="4" borderId="3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10" fillId="4" borderId="10" xfId="0" applyNumberFormat="1" applyFont="1" applyFill="1" applyBorder="1" applyAlignment="1">
      <alignment horizontal="center" vertical="center"/>
    </xf>
    <xf numFmtId="2" fontId="10" fillId="4" borderId="12" xfId="0" applyNumberFormat="1" applyFont="1" applyFill="1" applyBorder="1" applyAlignment="1">
      <alignment horizontal="center" vertical="center"/>
    </xf>
    <xf numFmtId="2" fontId="10" fillId="4" borderId="21" xfId="0" applyNumberFormat="1" applyFont="1" applyFill="1" applyBorder="1" applyAlignment="1">
      <alignment horizontal="center" vertical="center"/>
    </xf>
    <xf numFmtId="2" fontId="10" fillId="4" borderId="35" xfId="0" applyNumberFormat="1" applyFont="1" applyFill="1" applyBorder="1" applyAlignment="1">
      <alignment horizontal="center" vertical="center"/>
    </xf>
    <xf numFmtId="2" fontId="10" fillId="4" borderId="32" xfId="0" applyNumberFormat="1" applyFont="1" applyFill="1" applyBorder="1" applyAlignment="1">
      <alignment horizontal="center" vertical="center"/>
    </xf>
    <xf numFmtId="2" fontId="10" fillId="4" borderId="34" xfId="0" applyNumberFormat="1" applyFont="1" applyFill="1" applyBorder="1" applyAlignment="1">
      <alignment horizontal="center" vertical="center"/>
    </xf>
    <xf numFmtId="2" fontId="10" fillId="4" borderId="50" xfId="0" applyNumberFormat="1" applyFont="1" applyFill="1" applyBorder="1" applyAlignment="1">
      <alignment horizontal="center" vertical="center"/>
    </xf>
    <xf numFmtId="2" fontId="10" fillId="4" borderId="37" xfId="0" applyNumberFormat="1" applyFont="1" applyFill="1" applyBorder="1" applyAlignment="1">
      <alignment horizontal="center" vertical="center"/>
    </xf>
    <xf numFmtId="0" fontId="14" fillId="4" borderId="51" xfId="0" applyFont="1" applyFill="1" applyBorder="1" applyAlignment="1" applyProtection="1">
      <alignment horizontal="center" vertical="center"/>
      <protection locked="0"/>
    </xf>
    <xf numFmtId="189" fontId="10" fillId="4" borderId="52" xfId="0" applyNumberFormat="1" applyFont="1" applyFill="1" applyBorder="1" applyAlignment="1">
      <alignment horizontal="center" vertical="center"/>
    </xf>
    <xf numFmtId="2" fontId="8" fillId="4" borderId="16" xfId="0" applyNumberFormat="1" applyFont="1" applyFill="1" applyBorder="1" applyAlignment="1" applyProtection="1">
      <alignment horizontal="center" vertical="center"/>
      <protection locked="0"/>
    </xf>
    <xf numFmtId="2" fontId="8" fillId="4" borderId="53" xfId="0" applyNumberFormat="1" applyFont="1" applyFill="1" applyBorder="1" applyAlignment="1" applyProtection="1">
      <alignment horizontal="center" vertical="center"/>
      <protection locked="0"/>
    </xf>
    <xf numFmtId="2" fontId="8" fillId="4" borderId="54" xfId="0" applyNumberFormat="1" applyFont="1" applyFill="1" applyBorder="1" applyAlignment="1" applyProtection="1">
      <alignment horizontal="center" vertical="center"/>
      <protection locked="0"/>
    </xf>
    <xf numFmtId="2" fontId="8" fillId="4" borderId="55" xfId="0" applyNumberFormat="1" applyFont="1" applyFill="1" applyBorder="1" applyAlignment="1">
      <alignment horizontal="center" vertical="center"/>
    </xf>
    <xf numFmtId="2" fontId="8" fillId="4" borderId="56" xfId="0" applyNumberFormat="1" applyFont="1" applyFill="1" applyBorder="1" applyAlignment="1" applyProtection="1">
      <alignment horizontal="center" vertical="center"/>
      <protection locked="0"/>
    </xf>
    <xf numFmtId="2" fontId="8" fillId="4" borderId="57" xfId="0" applyNumberFormat="1" applyFont="1" applyFill="1" applyBorder="1" applyAlignment="1" applyProtection="1">
      <alignment horizontal="center" vertical="center"/>
      <protection locked="0"/>
    </xf>
    <xf numFmtId="2" fontId="8" fillId="4" borderId="58" xfId="0" applyNumberFormat="1" applyFont="1" applyFill="1" applyBorder="1" applyAlignment="1">
      <alignment horizontal="center" vertical="center"/>
    </xf>
    <xf numFmtId="2" fontId="8" fillId="4" borderId="3" xfId="0" applyNumberFormat="1" applyFont="1" applyFill="1" applyBorder="1" applyAlignment="1" applyProtection="1">
      <alignment horizontal="center" vertical="center"/>
      <protection locked="0"/>
    </xf>
    <xf numFmtId="2" fontId="8" fillId="4" borderId="4" xfId="0" applyNumberFormat="1" applyFont="1" applyFill="1" applyBorder="1" applyAlignment="1" applyProtection="1">
      <alignment horizontal="center" vertical="center"/>
      <protection locked="0"/>
    </xf>
    <xf numFmtId="2" fontId="8" fillId="4" borderId="12" xfId="0" applyNumberFormat="1" applyFont="1" applyFill="1" applyBorder="1" applyAlignment="1" applyProtection="1">
      <alignment horizontal="center" vertical="center"/>
    </xf>
    <xf numFmtId="2" fontId="8" fillId="4" borderId="1" xfId="0" applyNumberFormat="1" applyFont="1" applyFill="1" applyBorder="1" applyAlignment="1" applyProtection="1">
      <alignment horizontal="center" vertical="center"/>
    </xf>
    <xf numFmtId="2" fontId="8" fillId="4" borderId="10" xfId="0" applyNumberFormat="1" applyFont="1" applyFill="1" applyBorder="1" applyAlignment="1" applyProtection="1">
      <alignment horizontal="center" vertical="center"/>
    </xf>
    <xf numFmtId="0" fontId="14" fillId="4" borderId="59" xfId="0" applyFont="1" applyFill="1" applyBorder="1" applyAlignment="1">
      <alignment vertical="center"/>
    </xf>
    <xf numFmtId="0" fontId="14" fillId="4" borderId="48" xfId="0" applyFont="1" applyFill="1" applyBorder="1" applyAlignment="1">
      <alignment vertical="center"/>
    </xf>
    <xf numFmtId="0" fontId="14" fillId="4" borderId="60" xfId="0" applyFont="1" applyFill="1" applyBorder="1" applyAlignment="1">
      <alignment vertical="center"/>
    </xf>
    <xf numFmtId="0" fontId="5" fillId="4" borderId="0" xfId="0" applyFont="1" applyFill="1" applyBorder="1"/>
    <xf numFmtId="0" fontId="1" fillId="4" borderId="0" xfId="0" applyFont="1" applyFill="1" applyBorder="1" applyAlignment="1">
      <alignment vertical="center"/>
    </xf>
    <xf numFmtId="0" fontId="11" fillId="4" borderId="0" xfId="0" applyFont="1" applyFill="1" applyBorder="1" applyAlignment="1"/>
    <xf numFmtId="0" fontId="12" fillId="4" borderId="0" xfId="0" applyFont="1" applyFill="1" applyBorder="1" applyAlignment="1">
      <alignment vertical="center"/>
    </xf>
    <xf numFmtId="0" fontId="1" fillId="4" borderId="2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/>
    </xf>
    <xf numFmtId="2" fontId="8" fillId="4" borderId="15" xfId="0" applyNumberFormat="1" applyFont="1" applyFill="1" applyBorder="1" applyAlignment="1">
      <alignment horizontal="center" vertical="center"/>
    </xf>
    <xf numFmtId="2" fontId="8" fillId="4" borderId="3" xfId="0" applyNumberFormat="1" applyFont="1" applyFill="1" applyBorder="1" applyAlignment="1">
      <alignment horizontal="center" vertical="center"/>
    </xf>
    <xf numFmtId="1" fontId="8" fillId="4" borderId="30" xfId="0" applyNumberFormat="1" applyFon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1" fontId="0" fillId="4" borderId="4" xfId="0" quotePrefix="1" applyNumberFormat="1" applyFill="1" applyBorder="1" applyAlignment="1">
      <alignment horizontal="center" vertical="center"/>
    </xf>
    <xf numFmtId="181" fontId="0" fillId="4" borderId="8" xfId="0" applyNumberFormat="1" applyFill="1" applyBorder="1" applyAlignment="1">
      <alignment horizontal="center" vertical="center"/>
    </xf>
    <xf numFmtId="1" fontId="8" fillId="4" borderId="21" xfId="0" applyNumberFormat="1" applyFont="1" applyFill="1" applyBorder="1" applyAlignment="1">
      <alignment horizontal="center" vertical="center"/>
    </xf>
    <xf numFmtId="181" fontId="0" fillId="4" borderId="1" xfId="0" quotePrefix="1" applyNumberFormat="1" applyFill="1" applyBorder="1" applyAlignment="1">
      <alignment horizontal="center" vertical="center"/>
    </xf>
    <xf numFmtId="181" fontId="0" fillId="4" borderId="2" xfId="0" applyNumberForma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 wrapText="1"/>
    </xf>
    <xf numFmtId="182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81" fontId="0" fillId="4" borderId="1" xfId="0" applyNumberForma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 wrapText="1"/>
    </xf>
    <xf numFmtId="182" fontId="5" fillId="4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/>
    </xf>
    <xf numFmtId="182" fontId="5" fillId="4" borderId="1" xfId="0" applyNumberFormat="1" applyFont="1" applyFill="1" applyBorder="1" applyAlignment="1">
      <alignment horizontal="center" vertical="center"/>
    </xf>
    <xf numFmtId="181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2" fontId="5" fillId="4" borderId="1" xfId="0" quotePrefix="1" applyNumberFormat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" fontId="8" fillId="4" borderId="21" xfId="0" applyNumberFormat="1" applyFont="1" applyFill="1" applyBorder="1" applyAlignment="1">
      <alignment horizontal="center" vertical="center" wrapText="1"/>
    </xf>
    <xf numFmtId="2" fontId="21" fillId="4" borderId="12" xfId="0" applyNumberFormat="1" applyFont="1" applyFill="1" applyBorder="1" applyAlignment="1">
      <alignment horizontal="center" vertical="center"/>
    </xf>
    <xf numFmtId="2" fontId="21" fillId="4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2" fontId="5" fillId="4" borderId="6" xfId="0" applyNumberFormat="1" applyFont="1" applyFill="1" applyBorder="1" applyAlignment="1">
      <alignment horizontal="center" vertical="center"/>
    </xf>
    <xf numFmtId="0" fontId="5" fillId="4" borderId="5" xfId="0" quotePrefix="1" applyFont="1" applyFill="1" applyBorder="1" applyAlignment="1">
      <alignment horizontal="center" vertical="center"/>
    </xf>
    <xf numFmtId="2" fontId="5" fillId="4" borderId="5" xfId="0" applyNumberFormat="1" applyFont="1" applyFill="1" applyBorder="1" applyAlignment="1">
      <alignment horizontal="center" vertical="center"/>
    </xf>
    <xf numFmtId="182" fontId="5" fillId="4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/>
    </xf>
    <xf numFmtId="1" fontId="8" fillId="4" borderId="61" xfId="0" applyNumberFormat="1" applyFont="1" applyFill="1" applyBorder="1" applyAlignment="1">
      <alignment horizontal="center" vertical="center"/>
    </xf>
    <xf numFmtId="1" fontId="8" fillId="4" borderId="62" xfId="0" applyNumberFormat="1" applyFont="1" applyFill="1" applyBorder="1" applyAlignment="1">
      <alignment horizontal="center" vertical="center"/>
    </xf>
    <xf numFmtId="2" fontId="8" fillId="4" borderId="0" xfId="0" applyNumberFormat="1" applyFont="1" applyFill="1" applyBorder="1" applyAlignment="1">
      <alignment horizontal="center" vertical="center"/>
    </xf>
    <xf numFmtId="2" fontId="5" fillId="4" borderId="0" xfId="0" applyNumberFormat="1" applyFont="1" applyFill="1" applyBorder="1" applyAlignment="1">
      <alignment horizontal="center"/>
    </xf>
    <xf numFmtId="1" fontId="5" fillId="4" borderId="0" xfId="0" applyNumberFormat="1" applyFont="1" applyFill="1" applyBorder="1" applyAlignment="1">
      <alignment horizontal="center"/>
    </xf>
    <xf numFmtId="1" fontId="8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181" fontId="5" fillId="4" borderId="0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2" fontId="5" fillId="4" borderId="0" xfId="0" applyNumberFormat="1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/>
    </xf>
    <xf numFmtId="0" fontId="23" fillId="4" borderId="0" xfId="0" applyFont="1" applyFill="1" applyBorder="1" applyAlignment="1">
      <alignment horizontal="center" vertical="center"/>
    </xf>
    <xf numFmtId="0" fontId="14" fillId="4" borderId="70" xfId="0" applyFont="1" applyFill="1" applyBorder="1" applyAlignment="1">
      <alignment horizontal="center" vertical="center" wrapText="1"/>
    </xf>
    <xf numFmtId="0" fontId="14" fillId="4" borderId="7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9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6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4" fillId="4" borderId="66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0" fontId="14" fillId="4" borderId="67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/>
    </xf>
    <xf numFmtId="0" fontId="14" fillId="4" borderId="68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63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65" xfId="0" applyFont="1" applyFill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 wrapText="1"/>
    </xf>
    <xf numFmtId="0" fontId="14" fillId="4" borderId="64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4" borderId="6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justify"/>
    </xf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85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86" xfId="0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/>
    </xf>
    <xf numFmtId="0" fontId="2" fillId="0" borderId="83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67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 wrapText="1"/>
    </xf>
    <xf numFmtId="0" fontId="14" fillId="0" borderId="68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63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justify"/>
    </xf>
    <xf numFmtId="0" fontId="2" fillId="0" borderId="8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9" xfId="0" applyFont="1" applyFill="1" applyBorder="1" applyAlignment="1">
      <alignment horizontal="center" vertical="center" wrapText="1"/>
    </xf>
    <xf numFmtId="0" fontId="4" fillId="0" borderId="80" xfId="0" applyFont="1" applyFill="1" applyBorder="1" applyAlignment="1">
      <alignment horizontal="center" vertical="center"/>
    </xf>
    <xf numFmtId="0" fontId="4" fillId="0" borderId="81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4" fillId="0" borderId="6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6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82" xfId="0" applyFont="1" applyFill="1" applyBorder="1" applyAlignment="1">
      <alignment horizontal="center" vertical="center"/>
    </xf>
    <xf numFmtId="0" fontId="0" fillId="0" borderId="80" xfId="0" applyFill="1" applyBorder="1"/>
    <xf numFmtId="0" fontId="0" fillId="0" borderId="83" xfId="0" applyFill="1" applyBorder="1"/>
    <xf numFmtId="0" fontId="2" fillId="0" borderId="1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76" xfId="0" applyFont="1" applyFill="1" applyBorder="1" applyAlignment="1">
      <alignment horizontal="center" vertical="center" wrapText="1"/>
    </xf>
    <xf numFmtId="0" fontId="14" fillId="0" borderId="77" xfId="0" applyFont="1" applyFill="1" applyBorder="1" applyAlignment="1">
      <alignment horizontal="center" vertical="center" wrapText="1"/>
    </xf>
    <xf numFmtId="0" fontId="14" fillId="0" borderId="78" xfId="0" applyFont="1" applyFill="1" applyBorder="1" applyAlignment="1">
      <alignment horizontal="center" vertical="center" wrapText="1"/>
    </xf>
    <xf numFmtId="0" fontId="14" fillId="0" borderId="79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/>
    </xf>
    <xf numFmtId="0" fontId="14" fillId="0" borderId="65" xfId="0" applyFont="1" applyFill="1" applyBorder="1" applyAlignment="1">
      <alignment horizontal="center" vertical="center"/>
    </xf>
    <xf numFmtId="0" fontId="14" fillId="0" borderId="42" xfId="0" applyFont="1" applyFill="1" applyBorder="1" applyAlignment="1">
      <alignment horizontal="center" vertical="center" wrapText="1"/>
    </xf>
    <xf numFmtId="0" fontId="14" fillId="0" borderId="64" xfId="0" applyFont="1" applyFill="1" applyBorder="1" applyAlignment="1">
      <alignment horizontal="center" vertical="center" wrapText="1"/>
    </xf>
    <xf numFmtId="0" fontId="14" fillId="0" borderId="73" xfId="0" applyFont="1" applyFill="1" applyBorder="1" applyAlignment="1">
      <alignment horizontal="center" vertical="center" wrapText="1"/>
    </xf>
    <xf numFmtId="0" fontId="14" fillId="0" borderId="74" xfId="0" applyFont="1" applyFill="1" applyBorder="1" applyAlignment="1">
      <alignment horizontal="center" vertical="center" wrapText="1"/>
    </xf>
    <xf numFmtId="0" fontId="14" fillId="0" borderId="7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workbookViewId="0">
      <selection activeCell="G2" sqref="G2"/>
    </sheetView>
  </sheetViews>
  <sheetFormatPr defaultColWidth="9.109375" defaultRowHeight="13.2" x14ac:dyDescent="0.25"/>
  <cols>
    <col min="1" max="13" width="10.6640625" style="127" customWidth="1"/>
    <col min="14" max="16384" width="9.109375" style="127"/>
  </cols>
  <sheetData>
    <row r="1" spans="1:13" ht="30.75" customHeight="1" thickBot="1" x14ac:dyDescent="0.3">
      <c r="A1" s="122" t="s">
        <v>41</v>
      </c>
      <c r="B1" s="123" t="s">
        <v>42</v>
      </c>
      <c r="C1" s="123" t="s">
        <v>43</v>
      </c>
      <c r="D1" s="123" t="s">
        <v>0</v>
      </c>
      <c r="E1" s="123" t="s">
        <v>1</v>
      </c>
      <c r="F1" s="123" t="s">
        <v>57</v>
      </c>
      <c r="G1" s="123" t="s">
        <v>46</v>
      </c>
      <c r="H1" s="123" t="s">
        <v>45</v>
      </c>
      <c r="I1" s="124" t="s">
        <v>62</v>
      </c>
      <c r="J1" s="125" t="s">
        <v>2</v>
      </c>
      <c r="K1" s="123" t="s">
        <v>51</v>
      </c>
      <c r="L1" s="123" t="s">
        <v>52</v>
      </c>
      <c r="M1" s="126" t="s">
        <v>63</v>
      </c>
    </row>
    <row r="2" spans="1:13" ht="21" customHeight="1" thickTop="1" x14ac:dyDescent="0.25">
      <c r="A2" s="128">
        <v>13.484500000000001</v>
      </c>
      <c r="B2" s="129">
        <v>2.6819999999999999</v>
      </c>
      <c r="C2" s="129">
        <v>3.4514999999999993</v>
      </c>
      <c r="D2" s="129">
        <v>40.628999999999984</v>
      </c>
      <c r="E2" s="129">
        <v>2.8214999999999995</v>
      </c>
      <c r="F2" s="129">
        <v>0.16999999999999998</v>
      </c>
      <c r="G2" s="129">
        <v>5.6500000000000029E-2</v>
      </c>
      <c r="H2" s="129">
        <v>0.30699999999999983</v>
      </c>
      <c r="I2" s="130">
        <v>4.650000000000002E-2</v>
      </c>
      <c r="J2" s="131">
        <f t="shared" ref="J2:J32" si="0">IF(A2="","",100*D2/(2.8*A2+1.18*B2+0.65*C2))</f>
        <v>94.125229483675739</v>
      </c>
      <c r="K2" s="132">
        <f t="shared" ref="K2:K32" si="1">IF(A2="","",A2/(B2+C2))</f>
        <v>2.1985000407597624</v>
      </c>
      <c r="L2" s="133">
        <f t="shared" ref="L2:L32" si="2">IF(B2="","",B2/C2)</f>
        <v>0.7770534550195568</v>
      </c>
      <c r="M2" s="134">
        <v>11.13</v>
      </c>
    </row>
    <row r="3" spans="1:13" ht="21" customHeight="1" x14ac:dyDescent="0.25">
      <c r="A3" s="136">
        <v>13.567000000000002</v>
      </c>
      <c r="B3" s="137">
        <v>2.5385</v>
      </c>
      <c r="C3" s="137">
        <v>3.2084999999999999</v>
      </c>
      <c r="D3" s="137">
        <v>40.750500000000002</v>
      </c>
      <c r="E3" s="137">
        <v>2.8250000000000006</v>
      </c>
      <c r="F3" s="137">
        <v>0.19550000000000001</v>
      </c>
      <c r="G3" s="137">
        <v>5.9000000000000032E-2</v>
      </c>
      <c r="H3" s="137">
        <v>0.30550000000000005</v>
      </c>
      <c r="I3" s="138">
        <v>5.000000000000001E-2</v>
      </c>
      <c r="J3" s="116">
        <f t="shared" si="0"/>
        <v>94.617755343776935</v>
      </c>
      <c r="K3" s="117">
        <f t="shared" si="1"/>
        <v>2.3607099356185839</v>
      </c>
      <c r="L3" s="118">
        <f t="shared" si="2"/>
        <v>0.79117967897771546</v>
      </c>
      <c r="M3" s="115">
        <v>11.47</v>
      </c>
    </row>
    <row r="4" spans="1:13" ht="21" customHeight="1" x14ac:dyDescent="0.25">
      <c r="A4" s="136">
        <v>13.863125000000002</v>
      </c>
      <c r="B4" s="137">
        <v>2.3806249999999998</v>
      </c>
      <c r="C4" s="137">
        <v>2.9924999999999997</v>
      </c>
      <c r="D4" s="137">
        <v>40.732500000000002</v>
      </c>
      <c r="E4" s="137">
        <v>2.8400000000000003</v>
      </c>
      <c r="F4" s="137">
        <v>0.231875</v>
      </c>
      <c r="G4" s="137">
        <v>5.9375000000000025E-2</v>
      </c>
      <c r="H4" s="137">
        <v>0.31874999999999998</v>
      </c>
      <c r="I4" s="138">
        <v>4.9375000000000009E-2</v>
      </c>
      <c r="J4" s="116">
        <f t="shared" si="0"/>
        <v>93.485318937676738</v>
      </c>
      <c r="K4" s="117">
        <f t="shared" si="1"/>
        <v>2.5800860765383278</v>
      </c>
      <c r="L4" s="118">
        <f t="shared" si="2"/>
        <v>0.79553049289891398</v>
      </c>
      <c r="M4" s="115">
        <v>11.54</v>
      </c>
    </row>
    <row r="5" spans="1:13" ht="21" customHeight="1" x14ac:dyDescent="0.25">
      <c r="A5" s="136">
        <v>13.681363636363637</v>
      </c>
      <c r="B5" s="137">
        <v>2.5404545454545451</v>
      </c>
      <c r="C5" s="137">
        <v>2.9486363636363633</v>
      </c>
      <c r="D5" s="137">
        <v>40.720454545454544</v>
      </c>
      <c r="E5" s="137">
        <v>2.7781818181818183</v>
      </c>
      <c r="F5" s="137">
        <v>0.23090909090909092</v>
      </c>
      <c r="G5" s="137">
        <v>6.0000000000000032E-2</v>
      </c>
      <c r="H5" s="137">
        <v>0.30322727272727279</v>
      </c>
      <c r="I5" s="138">
        <v>5.0000000000000017E-2</v>
      </c>
      <c r="J5" s="116">
        <f t="shared" si="0"/>
        <v>94.211966355227872</v>
      </c>
      <c r="K5" s="117">
        <f t="shared" si="1"/>
        <v>2.4924643921828422</v>
      </c>
      <c r="L5" s="118">
        <f t="shared" si="2"/>
        <v>0.86156929243101588</v>
      </c>
      <c r="M5" s="115">
        <v>10.36</v>
      </c>
    </row>
    <row r="6" spans="1:13" ht="21" customHeight="1" x14ac:dyDescent="0.25">
      <c r="A6" s="136">
        <v>13.481052631578947</v>
      </c>
      <c r="B6" s="137">
        <v>2.911052631578948</v>
      </c>
      <c r="C6" s="137">
        <v>3.183157894736842</v>
      </c>
      <c r="D6" s="137">
        <v>40.689473684210519</v>
      </c>
      <c r="E6" s="137">
        <v>2.6331578947368421</v>
      </c>
      <c r="F6" s="137">
        <v>0.24526315789473685</v>
      </c>
      <c r="G6" s="137">
        <v>5.789473684210529E-2</v>
      </c>
      <c r="H6" s="137">
        <v>0.27157894736842098</v>
      </c>
      <c r="I6" s="138">
        <v>5.0000000000000017E-2</v>
      </c>
      <c r="J6" s="116">
        <f t="shared" si="0"/>
        <v>94.077441152011176</v>
      </c>
      <c r="K6" s="117">
        <f t="shared" si="1"/>
        <v>2.2121081267812417</v>
      </c>
      <c r="L6" s="118">
        <f t="shared" si="2"/>
        <v>0.91451719576719603</v>
      </c>
      <c r="M6" s="115">
        <v>10.75</v>
      </c>
    </row>
    <row r="7" spans="1:13" ht="21" customHeight="1" x14ac:dyDescent="0.25">
      <c r="A7" s="136">
        <v>13.538750000000002</v>
      </c>
      <c r="B7" s="137">
        <v>2.8329166666666672</v>
      </c>
      <c r="C7" s="137">
        <v>3.1370833333333334</v>
      </c>
      <c r="D7" s="137">
        <v>40.664583333333333</v>
      </c>
      <c r="E7" s="137">
        <v>2.6516666666666668</v>
      </c>
      <c r="F7" s="137">
        <v>0.24833333333333329</v>
      </c>
      <c r="G7" s="137">
        <v>5.9166666666666701E-2</v>
      </c>
      <c r="H7" s="137">
        <v>0.26666666666666661</v>
      </c>
      <c r="I7" s="138">
        <v>4.7916666666666684E-2</v>
      </c>
      <c r="J7" s="116">
        <f t="shared" si="0"/>
        <v>93.934314028297422</v>
      </c>
      <c r="K7" s="117">
        <f t="shared" si="1"/>
        <v>2.2677973199329986</v>
      </c>
      <c r="L7" s="118">
        <f t="shared" si="2"/>
        <v>0.90304157258600093</v>
      </c>
      <c r="M7" s="115">
        <v>10.56</v>
      </c>
    </row>
    <row r="8" spans="1:13" ht="21" customHeight="1" x14ac:dyDescent="0.25">
      <c r="A8" s="136">
        <v>13.663333333333332</v>
      </c>
      <c r="B8" s="137">
        <v>2.83</v>
      </c>
      <c r="C8" s="137">
        <v>3.1458333333333326</v>
      </c>
      <c r="D8" s="137">
        <v>40.438333333333325</v>
      </c>
      <c r="E8" s="137">
        <v>2.7766666666666673</v>
      </c>
      <c r="F8" s="137">
        <v>0.19333333333333333</v>
      </c>
      <c r="G8" s="137">
        <v>6.5833333333333355E-2</v>
      </c>
      <c r="H8" s="137">
        <v>0.26333333333333331</v>
      </c>
      <c r="I8" s="138">
        <v>4.4999999999999991E-2</v>
      </c>
      <c r="J8" s="116">
        <f t="shared" si="0"/>
        <v>92.660220588839024</v>
      </c>
      <c r="K8" s="117">
        <f t="shared" si="1"/>
        <v>2.2864314600474134</v>
      </c>
      <c r="L8" s="118">
        <f t="shared" si="2"/>
        <v>0.89960264900662279</v>
      </c>
      <c r="M8" s="115">
        <v>10.73</v>
      </c>
    </row>
    <row r="9" spans="1:13" ht="21" customHeight="1" x14ac:dyDescent="0.25">
      <c r="A9" s="136">
        <v>13.500833333333334</v>
      </c>
      <c r="B9" s="137">
        <v>2.7666666666666671</v>
      </c>
      <c r="C9" s="137">
        <v>3.11375</v>
      </c>
      <c r="D9" s="137">
        <v>40.498749999999994</v>
      </c>
      <c r="E9" s="137">
        <v>2.9033333333333338</v>
      </c>
      <c r="F9" s="137">
        <v>0.15708333333333332</v>
      </c>
      <c r="G9" s="137">
        <v>7.1666666666666698E-2</v>
      </c>
      <c r="H9" s="137">
        <v>0.25291666666666662</v>
      </c>
      <c r="I9" s="138">
        <v>4.9750000000000009E-2</v>
      </c>
      <c r="J9" s="116">
        <f t="shared" si="0"/>
        <v>93.98437896599485</v>
      </c>
      <c r="K9" s="117">
        <f t="shared" si="1"/>
        <v>2.2958973995606886</v>
      </c>
      <c r="L9" s="118">
        <f t="shared" si="2"/>
        <v>0.88853204870868474</v>
      </c>
      <c r="M9" s="115">
        <v>10.35</v>
      </c>
    </row>
    <row r="10" spans="1:13" ht="21" customHeight="1" x14ac:dyDescent="0.25">
      <c r="A10" s="136">
        <v>13.544583333333334</v>
      </c>
      <c r="B10" s="137">
        <v>2.6562500000000004</v>
      </c>
      <c r="C10" s="137">
        <v>3.117916666666666</v>
      </c>
      <c r="D10" s="137">
        <v>40.709166666666668</v>
      </c>
      <c r="E10" s="137">
        <v>2.9036250000000003</v>
      </c>
      <c r="F10" s="137">
        <v>0.15666666666666665</v>
      </c>
      <c r="G10" s="137">
        <v>7.0416666666666711E-2</v>
      </c>
      <c r="H10" s="137">
        <v>0.2533333333333333</v>
      </c>
      <c r="I10" s="138">
        <v>3.9583333333333345E-2</v>
      </c>
      <c r="J10" s="116">
        <f t="shared" si="0"/>
        <v>94.483833392727036</v>
      </c>
      <c r="K10" s="117">
        <f t="shared" si="1"/>
        <v>2.3457208832443359</v>
      </c>
      <c r="L10" s="118">
        <f t="shared" si="2"/>
        <v>0.85193104369905148</v>
      </c>
      <c r="M10" s="115">
        <v>10.130000000000001</v>
      </c>
    </row>
    <row r="11" spans="1:13" ht="21" customHeight="1" x14ac:dyDescent="0.25">
      <c r="A11" s="119">
        <v>13.627916666666671</v>
      </c>
      <c r="B11" s="120">
        <v>2.6004166666666673</v>
      </c>
      <c r="C11" s="120">
        <v>3.0004166666666667</v>
      </c>
      <c r="D11" s="120">
        <v>40.555833333333325</v>
      </c>
      <c r="E11" s="120">
        <v>3.0295833333333331</v>
      </c>
      <c r="F11" s="120">
        <v>0.13500000000000004</v>
      </c>
      <c r="G11" s="120">
        <v>7.0416666666666697E-2</v>
      </c>
      <c r="H11" s="120">
        <v>0.25458333333333333</v>
      </c>
      <c r="I11" s="121">
        <v>3.7500000000000012E-2</v>
      </c>
      <c r="J11" s="116">
        <f t="shared" si="0"/>
        <v>93.929406551318891</v>
      </c>
      <c r="K11" s="117">
        <f t="shared" si="1"/>
        <v>2.4331944651093593</v>
      </c>
      <c r="L11" s="118">
        <f t="shared" si="2"/>
        <v>0.86668518261352612</v>
      </c>
      <c r="M11" s="115">
        <v>10.26</v>
      </c>
    </row>
    <row r="12" spans="1:13" ht="21" customHeight="1" x14ac:dyDescent="0.25">
      <c r="A12" s="136">
        <v>13.666521739130435</v>
      </c>
      <c r="B12" s="137">
        <v>2.6373913043478261</v>
      </c>
      <c r="C12" s="137">
        <v>3.053913043478262</v>
      </c>
      <c r="D12" s="137">
        <v>40.544347826086948</v>
      </c>
      <c r="E12" s="137">
        <v>2.9965217391304355</v>
      </c>
      <c r="F12" s="137">
        <v>0.13913043478260867</v>
      </c>
      <c r="G12" s="137">
        <v>7.0000000000000034E-2</v>
      </c>
      <c r="H12" s="137">
        <v>0.26608695652173908</v>
      </c>
      <c r="I12" s="138">
        <v>3.4782608695652188E-2</v>
      </c>
      <c r="J12" s="116">
        <f t="shared" si="0"/>
        <v>93.49894942522188</v>
      </c>
      <c r="K12" s="117">
        <f t="shared" si="1"/>
        <v>2.4012987012987006</v>
      </c>
      <c r="L12" s="118">
        <f t="shared" si="2"/>
        <v>0.86361047835990856</v>
      </c>
      <c r="M12" s="115">
        <v>9.51</v>
      </c>
    </row>
    <row r="13" spans="1:13" ht="21" customHeight="1" x14ac:dyDescent="0.25">
      <c r="A13" s="136">
        <v>13.623750000000003</v>
      </c>
      <c r="B13" s="137">
        <v>2.67625</v>
      </c>
      <c r="C13" s="137">
        <v>3.0716666666666654</v>
      </c>
      <c r="D13" s="137">
        <v>40.499583333333327</v>
      </c>
      <c r="E13" s="137">
        <v>2.9637500000000006</v>
      </c>
      <c r="F13" s="137">
        <v>0.16541666666666668</v>
      </c>
      <c r="G13" s="137">
        <v>7.1666666666666712E-2</v>
      </c>
      <c r="H13" s="137">
        <v>0.27083333333333331</v>
      </c>
      <c r="I13" s="138">
        <v>3.5416666666666673E-2</v>
      </c>
      <c r="J13" s="116">
        <f t="shared" si="0"/>
        <v>93.530238964521047</v>
      </c>
      <c r="K13" s="117">
        <f t="shared" si="1"/>
        <v>2.3702065965929697</v>
      </c>
      <c r="L13" s="118">
        <f t="shared" si="2"/>
        <v>0.87126966901790592</v>
      </c>
      <c r="M13" s="115">
        <v>9.93</v>
      </c>
    </row>
    <row r="14" spans="1:13" ht="21" customHeight="1" x14ac:dyDescent="0.25">
      <c r="A14" s="136">
        <v>13.586363636363638</v>
      </c>
      <c r="B14" s="137">
        <v>2.7372727272727269</v>
      </c>
      <c r="C14" s="137">
        <v>3.0381818181818185</v>
      </c>
      <c r="D14" s="137">
        <v>40.339999999999996</v>
      </c>
      <c r="E14" s="137">
        <v>2.98</v>
      </c>
      <c r="F14" s="137">
        <v>0.17727272727272725</v>
      </c>
      <c r="G14" s="137">
        <v>7.1818181818181823E-2</v>
      </c>
      <c r="H14" s="137">
        <v>0.28818181818181815</v>
      </c>
      <c r="I14" s="138">
        <v>3.0909090909090907E-2</v>
      </c>
      <c r="J14" s="116">
        <f t="shared" si="0"/>
        <v>93.278970000386764</v>
      </c>
      <c r="K14" s="117">
        <f t="shared" si="1"/>
        <v>2.352431921926649</v>
      </c>
      <c r="L14" s="118">
        <f t="shared" si="2"/>
        <v>0.90095751047277051</v>
      </c>
      <c r="M14" s="115">
        <v>10.15</v>
      </c>
    </row>
    <row r="15" spans="1:13" ht="21" customHeight="1" x14ac:dyDescent="0.25">
      <c r="A15" s="136">
        <v>13.565416666666664</v>
      </c>
      <c r="B15" s="137">
        <v>2.5362500000000003</v>
      </c>
      <c r="C15" s="137">
        <v>3.0495833333333331</v>
      </c>
      <c r="D15" s="137">
        <v>40.473750000000003</v>
      </c>
      <c r="E15" s="137">
        <v>2.8854166666666665</v>
      </c>
      <c r="F15" s="137">
        <v>0.18666666666666668</v>
      </c>
      <c r="G15" s="137">
        <v>7.0416666666666711E-2</v>
      </c>
      <c r="H15" s="137">
        <v>0.28500000000000009</v>
      </c>
      <c r="I15" s="138">
        <v>4.5000000000000019E-2</v>
      </c>
      <c r="J15" s="116">
        <f t="shared" si="0"/>
        <v>94.2166512560038</v>
      </c>
      <c r="K15" s="117">
        <f t="shared" si="1"/>
        <v>2.4285394599433086</v>
      </c>
      <c r="L15" s="118">
        <f t="shared" si="2"/>
        <v>0.83167099330509653</v>
      </c>
      <c r="M15" s="115">
        <v>9.9700000000000006</v>
      </c>
    </row>
    <row r="16" spans="1:13" ht="21" customHeight="1" x14ac:dyDescent="0.25">
      <c r="A16" s="136">
        <v>13.641249999999998</v>
      </c>
      <c r="B16" s="137">
        <v>2.4424999999999994</v>
      </c>
      <c r="C16" s="137">
        <v>3.0295833333333335</v>
      </c>
      <c r="D16" s="137">
        <v>40.598750000000003</v>
      </c>
      <c r="E16" s="137">
        <v>2.8695833333333334</v>
      </c>
      <c r="F16" s="137">
        <v>0.20041666666666672</v>
      </c>
      <c r="G16" s="137">
        <v>7.1666666666666712E-2</v>
      </c>
      <c r="H16" s="137">
        <v>0.29333333333333328</v>
      </c>
      <c r="I16" s="138">
        <v>3.4583333333333341E-2</v>
      </c>
      <c r="J16" s="116">
        <f t="shared" si="0"/>
        <v>94.312876533538912</v>
      </c>
      <c r="K16" s="117">
        <f t="shared" si="1"/>
        <v>2.4928805299626893</v>
      </c>
      <c r="L16" s="118">
        <f t="shared" si="2"/>
        <v>0.80621647641314786</v>
      </c>
      <c r="M16" s="115">
        <v>10.44</v>
      </c>
    </row>
    <row r="17" spans="1:13" ht="21" customHeight="1" x14ac:dyDescent="0.25">
      <c r="A17" s="136">
        <v>13.557083333333331</v>
      </c>
      <c r="B17" s="137">
        <v>2.5258333333333334</v>
      </c>
      <c r="C17" s="137">
        <v>3.1731250000000006</v>
      </c>
      <c r="D17" s="137">
        <v>40.744166666666672</v>
      </c>
      <c r="E17" s="137">
        <v>2.6350000000000007</v>
      </c>
      <c r="F17" s="137">
        <v>0.21000000000000008</v>
      </c>
      <c r="G17" s="137">
        <v>7.2083333333333374E-2</v>
      </c>
      <c r="H17" s="137">
        <v>0.28750000000000003</v>
      </c>
      <c r="I17" s="138">
        <v>3.0416666666666686E-2</v>
      </c>
      <c r="J17" s="116">
        <f t="shared" si="0"/>
        <v>94.747600776634641</v>
      </c>
      <c r="K17" s="117">
        <f t="shared" si="1"/>
        <v>2.3788704076037281</v>
      </c>
      <c r="L17" s="118">
        <f t="shared" si="2"/>
        <v>0.79600814129078834</v>
      </c>
      <c r="M17" s="115">
        <v>10.27</v>
      </c>
    </row>
    <row r="18" spans="1:13" ht="21" customHeight="1" x14ac:dyDescent="0.25">
      <c r="A18" s="136">
        <v>13.552272727272726</v>
      </c>
      <c r="B18" s="137">
        <v>2.6186363636363632</v>
      </c>
      <c r="C18" s="137">
        <v>3.2868181818181821</v>
      </c>
      <c r="D18" s="137">
        <v>40.619090909090914</v>
      </c>
      <c r="E18" s="137">
        <v>2.6340909090909093</v>
      </c>
      <c r="F18" s="137">
        <v>0.21863636363636366</v>
      </c>
      <c r="G18" s="137">
        <v>7.1363636363636407E-2</v>
      </c>
      <c r="H18" s="137">
        <v>0.28636363636363643</v>
      </c>
      <c r="I18" s="138">
        <v>3.0000000000000016E-2</v>
      </c>
      <c r="J18" s="116">
        <f t="shared" si="0"/>
        <v>94.08494176624103</v>
      </c>
      <c r="K18" s="117">
        <f t="shared" si="1"/>
        <v>2.2948737684729061</v>
      </c>
      <c r="L18" s="118">
        <f t="shared" si="2"/>
        <v>0.79670861568247797</v>
      </c>
      <c r="M18" s="115">
        <v>9.66</v>
      </c>
    </row>
    <row r="19" spans="1:13" ht="21" customHeight="1" x14ac:dyDescent="0.25">
      <c r="A19" s="136">
        <v>13.511000000000001</v>
      </c>
      <c r="B19" s="137">
        <v>2.633</v>
      </c>
      <c r="C19" s="137">
        <v>3.2290000000000001</v>
      </c>
      <c r="D19" s="137">
        <v>40.567000000000007</v>
      </c>
      <c r="E19" s="137">
        <v>2.5670000000000002</v>
      </c>
      <c r="F19" s="137">
        <v>0.19999999999999998</v>
      </c>
      <c r="G19" s="137">
        <v>7.0999999999999994E-2</v>
      </c>
      <c r="H19" s="137">
        <v>0.28200000000000003</v>
      </c>
      <c r="I19" s="138">
        <v>3.0000000000000006E-2</v>
      </c>
      <c r="J19" s="116">
        <f t="shared" si="0"/>
        <v>94.261650377039643</v>
      </c>
      <c r="K19" s="117">
        <f t="shared" si="1"/>
        <v>2.3048447628795636</v>
      </c>
      <c r="L19" s="118">
        <f t="shared" si="2"/>
        <v>0.81542273149581912</v>
      </c>
      <c r="M19" s="115">
        <v>11.03</v>
      </c>
    </row>
    <row r="20" spans="1:13" ht="21" customHeight="1" x14ac:dyDescent="0.25">
      <c r="A20" s="136">
        <v>13.571428571428571</v>
      </c>
      <c r="B20" s="137">
        <v>2.7952380952380951</v>
      </c>
      <c r="C20" s="137">
        <v>3.1085714285714285</v>
      </c>
      <c r="D20" s="137">
        <v>40.608095238095231</v>
      </c>
      <c r="E20" s="137">
        <v>2.54952380952381</v>
      </c>
      <c r="F20" s="137">
        <v>0.22095238095238098</v>
      </c>
      <c r="G20" s="137">
        <v>7.3809523809523839E-2</v>
      </c>
      <c r="H20" s="137">
        <v>0.29809523809523814</v>
      </c>
      <c r="I20" s="138">
        <v>3.5238095238095242E-2</v>
      </c>
      <c r="J20" s="116">
        <f t="shared" si="0"/>
        <v>93.742099026270239</v>
      </c>
      <c r="K20" s="117">
        <f t="shared" si="1"/>
        <v>2.2987578641716406</v>
      </c>
      <c r="L20" s="118">
        <f t="shared" si="2"/>
        <v>0.89920343137254899</v>
      </c>
      <c r="M20" s="115">
        <v>10.34</v>
      </c>
    </row>
    <row r="21" spans="1:13" ht="21" customHeight="1" x14ac:dyDescent="0.25">
      <c r="A21" s="136">
        <v>13.519166666666663</v>
      </c>
      <c r="B21" s="137">
        <v>2.7058333333333331</v>
      </c>
      <c r="C21" s="137">
        <v>3.2099999999999991</v>
      </c>
      <c r="D21" s="137">
        <v>40.642083333333332</v>
      </c>
      <c r="E21" s="137">
        <v>2.5991666666666666</v>
      </c>
      <c r="F21" s="137">
        <v>0.22458333333333336</v>
      </c>
      <c r="G21" s="137">
        <v>7.791666666666669E-2</v>
      </c>
      <c r="H21" s="137">
        <v>0.31124999999999986</v>
      </c>
      <c r="I21" s="138">
        <v>4.0000000000000015E-2</v>
      </c>
      <c r="J21" s="116">
        <f t="shared" si="0"/>
        <v>94.224923424922054</v>
      </c>
      <c r="K21" s="117">
        <f t="shared" si="1"/>
        <v>2.2852514438653331</v>
      </c>
      <c r="L21" s="118">
        <f t="shared" si="2"/>
        <v>0.84293873312564915</v>
      </c>
      <c r="M21" s="115">
        <v>10.36</v>
      </c>
    </row>
    <row r="22" spans="1:13" ht="21" customHeight="1" x14ac:dyDescent="0.25">
      <c r="A22" s="136">
        <v>13.584736842105263</v>
      </c>
      <c r="B22" s="137">
        <v>2.5789473684210531</v>
      </c>
      <c r="C22" s="137">
        <v>3.1289473684210525</v>
      </c>
      <c r="D22" s="137">
        <v>40.624736842105264</v>
      </c>
      <c r="E22" s="137">
        <v>2.6142105263157891</v>
      </c>
      <c r="F22" s="137">
        <v>0.19473684210526318</v>
      </c>
      <c r="G22" s="137">
        <v>7.4210526315789491E-2</v>
      </c>
      <c r="H22" s="137">
        <v>0.30526315789473679</v>
      </c>
      <c r="I22" s="138">
        <v>3.894736842105264E-2</v>
      </c>
      <c r="J22" s="116">
        <f t="shared" si="0"/>
        <v>94.225805250555283</v>
      </c>
      <c r="K22" s="117">
        <f t="shared" si="1"/>
        <v>2.3799907791609036</v>
      </c>
      <c r="L22" s="118">
        <f t="shared" si="2"/>
        <v>0.82422203532380167</v>
      </c>
      <c r="M22" s="115">
        <v>10.75</v>
      </c>
    </row>
    <row r="23" spans="1:13" ht="21" customHeight="1" x14ac:dyDescent="0.25">
      <c r="A23" s="136">
        <v>13.63</v>
      </c>
      <c r="B23" s="137">
        <v>2.6129166666666674</v>
      </c>
      <c r="C23" s="137">
        <v>2.9995833333333337</v>
      </c>
      <c r="D23" s="137">
        <v>40.658749999999998</v>
      </c>
      <c r="E23" s="137">
        <v>2.6091666666666669</v>
      </c>
      <c r="F23" s="137">
        <v>0.19625000000000001</v>
      </c>
      <c r="G23" s="137">
        <v>7.3750000000000024E-2</v>
      </c>
      <c r="H23" s="137">
        <v>0.29708333333333325</v>
      </c>
      <c r="I23" s="138">
        <v>4.0000000000000015E-2</v>
      </c>
      <c r="J23" s="116">
        <f t="shared" si="0"/>
        <v>94.124076794350842</v>
      </c>
      <c r="K23" s="117">
        <f t="shared" si="1"/>
        <v>2.4285077951002227</v>
      </c>
      <c r="L23" s="118">
        <f t="shared" si="2"/>
        <v>0.87109320738991547</v>
      </c>
      <c r="M23" s="115">
        <v>10.93</v>
      </c>
    </row>
    <row r="24" spans="1:13" ht="21" customHeight="1" x14ac:dyDescent="0.25">
      <c r="A24" s="136">
        <v>13.610833333333332</v>
      </c>
      <c r="B24" s="137">
        <v>2.5716666666666663</v>
      </c>
      <c r="C24" s="137">
        <v>3.1216666666666661</v>
      </c>
      <c r="D24" s="137">
        <v>40.549166666666672</v>
      </c>
      <c r="E24" s="137">
        <v>2.71875</v>
      </c>
      <c r="F24" s="137">
        <v>0.22666666666666668</v>
      </c>
      <c r="G24" s="137">
        <v>7.2916666666666699E-2</v>
      </c>
      <c r="H24" s="137">
        <v>0.29375000000000001</v>
      </c>
      <c r="I24" s="138">
        <v>4.0000000000000015E-2</v>
      </c>
      <c r="J24" s="116">
        <f t="shared" si="0"/>
        <v>93.920374114194573</v>
      </c>
      <c r="K24" s="117">
        <f t="shared" si="1"/>
        <v>2.3906615925058547</v>
      </c>
      <c r="L24" s="118">
        <f t="shared" si="2"/>
        <v>0.82381206620395087</v>
      </c>
      <c r="M24" s="115">
        <v>10.36</v>
      </c>
    </row>
    <row r="25" spans="1:13" ht="21" customHeight="1" x14ac:dyDescent="0.25">
      <c r="A25" s="136">
        <v>13.574400000000001</v>
      </c>
      <c r="B25" s="137">
        <v>2.6113333333333335</v>
      </c>
      <c r="C25" s="137">
        <v>3.1126666666666671</v>
      </c>
      <c r="D25" s="137">
        <v>40.554666666666662</v>
      </c>
      <c r="E25" s="137">
        <v>2.7646666666666664</v>
      </c>
      <c r="F25" s="137">
        <v>0.22533333333333333</v>
      </c>
      <c r="G25" s="137">
        <v>7.3333333333333334E-2</v>
      </c>
      <c r="H25" s="137">
        <v>0.28733333333333338</v>
      </c>
      <c r="I25" s="138">
        <v>0.04</v>
      </c>
      <c r="J25" s="116">
        <f t="shared" si="0"/>
        <v>94.06614164753988</v>
      </c>
      <c r="K25" s="117">
        <f t="shared" si="1"/>
        <v>2.3714884696016774</v>
      </c>
      <c r="L25" s="118">
        <f t="shared" si="2"/>
        <v>0.83893767402013275</v>
      </c>
      <c r="M25" s="115">
        <v>11.16</v>
      </c>
    </row>
    <row r="26" spans="1:13" ht="21" customHeight="1" x14ac:dyDescent="0.25">
      <c r="A26" s="136">
        <v>13.560476190476193</v>
      </c>
      <c r="B26" s="137">
        <v>2.5952380952380953</v>
      </c>
      <c r="C26" s="137">
        <v>3.1342857142857148</v>
      </c>
      <c r="D26" s="137">
        <v>40.580952380952375</v>
      </c>
      <c r="E26" s="137">
        <v>2.7790476190476192</v>
      </c>
      <c r="F26" s="137">
        <v>0.22619047619047622</v>
      </c>
      <c r="G26" s="137">
        <v>7.1904761904761944E-2</v>
      </c>
      <c r="H26" s="137">
        <v>0.27809523809523812</v>
      </c>
      <c r="I26" s="138">
        <v>3.952380952380953E-2</v>
      </c>
      <c r="J26" s="116">
        <f t="shared" si="0"/>
        <v>94.223112635427725</v>
      </c>
      <c r="K26" s="117">
        <f t="shared" si="1"/>
        <v>2.366771941489362</v>
      </c>
      <c r="L26" s="118">
        <f t="shared" si="2"/>
        <v>0.82801580066848968</v>
      </c>
      <c r="M26" s="115">
        <v>10.65</v>
      </c>
    </row>
    <row r="27" spans="1:13" ht="21" customHeight="1" x14ac:dyDescent="0.25">
      <c r="A27" s="136">
        <v>13.402608695652171</v>
      </c>
      <c r="B27" s="137">
        <v>2.7408695652173911</v>
      </c>
      <c r="C27" s="137">
        <v>3.2269565217391305</v>
      </c>
      <c r="D27" s="137">
        <v>40.592608695652174</v>
      </c>
      <c r="E27" s="137">
        <v>2.6860869565217396</v>
      </c>
      <c r="F27" s="137">
        <v>0.2378260869565218</v>
      </c>
      <c r="G27" s="137">
        <v>7.3478260869565243E-2</v>
      </c>
      <c r="H27" s="137">
        <v>0.31478260869565206</v>
      </c>
      <c r="I27" s="138">
        <v>4.0000000000000015E-2</v>
      </c>
      <c r="J27" s="116">
        <f t="shared" si="0"/>
        <v>94.711867474194008</v>
      </c>
      <c r="K27" s="117">
        <f t="shared" si="1"/>
        <v>2.2458108698819754</v>
      </c>
      <c r="L27" s="118">
        <f t="shared" si="2"/>
        <v>0.84936674750741037</v>
      </c>
      <c r="M27" s="115">
        <v>10.84</v>
      </c>
    </row>
    <row r="28" spans="1:13" ht="21" customHeight="1" x14ac:dyDescent="0.25">
      <c r="A28" s="136">
        <v>13.523333333333333</v>
      </c>
      <c r="B28" s="137">
        <v>2.8444444444444446</v>
      </c>
      <c r="C28" s="137">
        <v>3.22</v>
      </c>
      <c r="D28" s="137">
        <v>40.489999999999995</v>
      </c>
      <c r="E28" s="137">
        <v>2.7722222222222217</v>
      </c>
      <c r="F28" s="137">
        <v>0.27444444444444449</v>
      </c>
      <c r="G28" s="137">
        <v>7.3333333333333334E-2</v>
      </c>
      <c r="H28" s="137">
        <v>0.31788888888888889</v>
      </c>
      <c r="I28" s="138">
        <v>0.04</v>
      </c>
      <c r="J28" s="116">
        <f t="shared" si="0"/>
        <v>93.47848950704531</v>
      </c>
      <c r="K28" s="117">
        <f t="shared" si="1"/>
        <v>2.2299377061194576</v>
      </c>
      <c r="L28" s="118">
        <f t="shared" si="2"/>
        <v>0.88336783988957901</v>
      </c>
      <c r="M28" s="115">
        <v>10.76</v>
      </c>
    </row>
    <row r="29" spans="1:13" ht="21" customHeight="1" x14ac:dyDescent="0.25">
      <c r="A29" s="136">
        <v>13.448181818181819</v>
      </c>
      <c r="B29" s="137">
        <v>2.8090909090909095</v>
      </c>
      <c r="C29" s="137">
        <v>3.2436363636363637</v>
      </c>
      <c r="D29" s="137">
        <v>40.306363636363628</v>
      </c>
      <c r="E29" s="137">
        <v>2.8213636363636363</v>
      </c>
      <c r="F29" s="137">
        <v>0.21863636363636371</v>
      </c>
      <c r="G29" s="137">
        <v>7.409090909090911E-2</v>
      </c>
      <c r="H29" s="137">
        <v>0.31686363636363635</v>
      </c>
      <c r="I29" s="138">
        <v>4.0000000000000008E-2</v>
      </c>
      <c r="J29" s="116">
        <f t="shared" si="0"/>
        <v>93.566005005718978</v>
      </c>
      <c r="K29" s="117">
        <f t="shared" si="1"/>
        <v>2.2218383899068792</v>
      </c>
      <c r="L29" s="118">
        <f t="shared" si="2"/>
        <v>0.86603139013452923</v>
      </c>
      <c r="M29" s="115">
        <v>11.66</v>
      </c>
    </row>
    <row r="30" spans="1:13" ht="21" customHeight="1" x14ac:dyDescent="0.25">
      <c r="A30" s="119">
        <v>13.470999999999998</v>
      </c>
      <c r="B30" s="120">
        <v>2.746</v>
      </c>
      <c r="C30" s="120">
        <v>3.2119999999999997</v>
      </c>
      <c r="D30" s="120">
        <v>40.637500000000003</v>
      </c>
      <c r="E30" s="120">
        <v>2.5674999999999999</v>
      </c>
      <c r="F30" s="120">
        <v>0.1595</v>
      </c>
      <c r="G30" s="120">
        <v>7.3500000000000024E-2</v>
      </c>
      <c r="H30" s="120">
        <v>0.25849999999999995</v>
      </c>
      <c r="I30" s="121">
        <v>3.8500000000000006E-2</v>
      </c>
      <c r="J30" s="116">
        <f t="shared" si="0"/>
        <v>94.402892846124985</v>
      </c>
      <c r="K30" s="117">
        <f t="shared" si="1"/>
        <v>2.2609936220208118</v>
      </c>
      <c r="L30" s="118">
        <f t="shared" si="2"/>
        <v>0.85491905354919062</v>
      </c>
      <c r="M30" s="115">
        <v>11.26</v>
      </c>
    </row>
    <row r="31" spans="1:13" ht="21" customHeight="1" x14ac:dyDescent="0.25">
      <c r="A31" s="136">
        <v>13.576249999999996</v>
      </c>
      <c r="B31" s="137">
        <v>2.6650000000000005</v>
      </c>
      <c r="C31" s="137">
        <v>3.0525000000000002</v>
      </c>
      <c r="D31" s="137">
        <v>40.636666666666656</v>
      </c>
      <c r="E31" s="137">
        <v>2.4733333333333336</v>
      </c>
      <c r="F31" s="137">
        <v>0.16958333333333334</v>
      </c>
      <c r="G31" s="137">
        <v>7.3750000000000038E-2</v>
      </c>
      <c r="H31" s="137">
        <v>0.24958333333333327</v>
      </c>
      <c r="I31" s="138">
        <v>3.7500000000000012E-2</v>
      </c>
      <c r="J31" s="116">
        <f t="shared" si="0"/>
        <v>94.192111034040636</v>
      </c>
      <c r="K31" s="117">
        <f t="shared" si="1"/>
        <v>2.374508089199824</v>
      </c>
      <c r="L31" s="118">
        <f t="shared" si="2"/>
        <v>0.87305487305487317</v>
      </c>
      <c r="M31" s="115">
        <v>11.45</v>
      </c>
    </row>
    <row r="32" spans="1:13" ht="21" customHeight="1" thickBot="1" x14ac:dyDescent="0.3">
      <c r="A32" s="139">
        <v>13.639444444444447</v>
      </c>
      <c r="B32" s="140">
        <v>2.585</v>
      </c>
      <c r="C32" s="140">
        <v>3.0766666666666671</v>
      </c>
      <c r="D32" s="140">
        <v>40.622222222222213</v>
      </c>
      <c r="E32" s="140">
        <v>2.5244444444444443</v>
      </c>
      <c r="F32" s="140">
        <v>0.18944444444444447</v>
      </c>
      <c r="G32" s="140">
        <v>7.7777777777777793E-2</v>
      </c>
      <c r="H32" s="140">
        <v>0.24888888888888891</v>
      </c>
      <c r="I32" s="141">
        <v>4.0000000000000008E-2</v>
      </c>
      <c r="J32" s="116">
        <f t="shared" si="0"/>
        <v>93.944679534552392</v>
      </c>
      <c r="K32" s="117">
        <f t="shared" si="1"/>
        <v>2.4090864488273969</v>
      </c>
      <c r="L32" s="118">
        <f t="shared" si="2"/>
        <v>0.84019501625135418</v>
      </c>
      <c r="M32" s="115">
        <v>11.22</v>
      </c>
    </row>
    <row r="33" spans="1:13" ht="21" customHeight="1" thickTop="1" x14ac:dyDescent="0.25">
      <c r="A33" s="142">
        <f t="shared" ref="A33:M33" si="3">IF(SUM(A2:A32)&gt;0,AVERAGE(A2:A32),"")</f>
        <v>13.573160513967673</v>
      </c>
      <c r="B33" s="143">
        <f t="shared" si="3"/>
        <v>2.658309496234637</v>
      </c>
      <c r="C33" s="143">
        <f t="shared" si="3"/>
        <v>3.1315692375861883</v>
      </c>
      <c r="D33" s="143">
        <f t="shared" si="3"/>
        <v>40.589648257426894</v>
      </c>
      <c r="E33" s="143">
        <f t="shared" si="3"/>
        <v>2.7475341906100832</v>
      </c>
      <c r="F33" s="143">
        <f t="shared" si="3"/>
        <v>0.20082745634060506</v>
      </c>
      <c r="G33" s="143">
        <f t="shared" si="3"/>
        <v>6.980827897179305E-2</v>
      </c>
      <c r="H33" s="143">
        <f t="shared" si="3"/>
        <v>0.28495375122855371</v>
      </c>
      <c r="I33" s="144">
        <f t="shared" si="3"/>
        <v>4.0207827079173156E-2</v>
      </c>
      <c r="J33" s="145">
        <f t="shared" si="3"/>
        <v>94.00852652238936</v>
      </c>
      <c r="K33" s="143">
        <f t="shared" si="3"/>
        <v>2.3471116535583034</v>
      </c>
      <c r="L33" s="144">
        <f t="shared" si="3"/>
        <v>0.84924726116895544</v>
      </c>
      <c r="M33" s="146">
        <f t="shared" si="3"/>
        <v>10.644516129032258</v>
      </c>
    </row>
    <row r="34" spans="1:13" ht="21" customHeight="1" x14ac:dyDescent="0.25">
      <c r="A34" s="147">
        <f t="shared" ref="A34:M34" si="4">IF(COUNT(A2:A32)&gt;1,STDEV(A2:A32),"")</f>
        <v>8.5854703506940813E-2</v>
      </c>
      <c r="B34" s="148">
        <f t="shared" si="4"/>
        <v>0.12294327888576327</v>
      </c>
      <c r="C34" s="148">
        <f t="shared" si="4"/>
        <v>0.10364151296007215</v>
      </c>
      <c r="D34" s="148">
        <f t="shared" si="4"/>
        <v>0.10741653758220009</v>
      </c>
      <c r="E34" s="148">
        <f t="shared" si="4"/>
        <v>0.15215673041751851</v>
      </c>
      <c r="F34" s="148">
        <f t="shared" si="4"/>
        <v>3.386646623588447E-2</v>
      </c>
      <c r="G34" s="148">
        <f t="shared" si="4"/>
        <v>5.9849674845750241E-3</v>
      </c>
      <c r="H34" s="148">
        <f t="shared" si="4"/>
        <v>2.2184782176466973E-2</v>
      </c>
      <c r="I34" s="149">
        <f t="shared" si="4"/>
        <v>6.1305932828076169E-3</v>
      </c>
      <c r="J34" s="150">
        <f t="shared" si="4"/>
        <v>0.4447431430066322</v>
      </c>
      <c r="K34" s="148">
        <f t="shared" si="4"/>
        <v>8.9675491320236375E-2</v>
      </c>
      <c r="L34" s="149">
        <f t="shared" si="4"/>
        <v>3.7594218682536353E-2</v>
      </c>
      <c r="M34" s="151">
        <f t="shared" si="4"/>
        <v>0.55306924647628841</v>
      </c>
    </row>
    <row r="35" spans="1:13" ht="21" customHeight="1" x14ac:dyDescent="0.25">
      <c r="A35" s="147">
        <f t="shared" ref="A35:M35" si="5">IF(A33="","",MAX(A2:A32))</f>
        <v>13.863125000000002</v>
      </c>
      <c r="B35" s="148">
        <f t="shared" si="5"/>
        <v>2.911052631578948</v>
      </c>
      <c r="C35" s="148">
        <f t="shared" si="5"/>
        <v>3.4514999999999993</v>
      </c>
      <c r="D35" s="148">
        <f t="shared" si="5"/>
        <v>40.750500000000002</v>
      </c>
      <c r="E35" s="148">
        <f t="shared" si="5"/>
        <v>3.0295833333333331</v>
      </c>
      <c r="F35" s="148">
        <f t="shared" si="5"/>
        <v>0.27444444444444449</v>
      </c>
      <c r="G35" s="148">
        <f t="shared" si="5"/>
        <v>7.791666666666669E-2</v>
      </c>
      <c r="H35" s="148">
        <f t="shared" si="5"/>
        <v>0.31874999999999998</v>
      </c>
      <c r="I35" s="149">
        <f t="shared" si="5"/>
        <v>5.0000000000000017E-2</v>
      </c>
      <c r="J35" s="150">
        <f t="shared" si="5"/>
        <v>94.747600776634641</v>
      </c>
      <c r="K35" s="148">
        <f t="shared" si="5"/>
        <v>2.5800860765383278</v>
      </c>
      <c r="L35" s="149">
        <f t="shared" si="5"/>
        <v>0.91451719576719603</v>
      </c>
      <c r="M35" s="151">
        <f t="shared" si="5"/>
        <v>11.66</v>
      </c>
    </row>
    <row r="36" spans="1:13" ht="21" customHeight="1" thickBot="1" x14ac:dyDescent="0.3">
      <c r="A36" s="152">
        <f t="shared" ref="A36:M36" si="6">IF(A33="","",MIN(A2:A32))</f>
        <v>13.402608695652171</v>
      </c>
      <c r="B36" s="153">
        <f t="shared" si="6"/>
        <v>2.3806249999999998</v>
      </c>
      <c r="C36" s="153">
        <f t="shared" si="6"/>
        <v>2.9486363636363633</v>
      </c>
      <c r="D36" s="153">
        <f t="shared" si="6"/>
        <v>40.306363636363628</v>
      </c>
      <c r="E36" s="153">
        <f t="shared" si="6"/>
        <v>2.4733333333333336</v>
      </c>
      <c r="F36" s="153">
        <f t="shared" si="6"/>
        <v>0.13500000000000004</v>
      </c>
      <c r="G36" s="153">
        <f t="shared" si="6"/>
        <v>5.6500000000000029E-2</v>
      </c>
      <c r="H36" s="153">
        <f t="shared" si="6"/>
        <v>0.24888888888888891</v>
      </c>
      <c r="I36" s="154">
        <f t="shared" si="6"/>
        <v>3.0000000000000006E-2</v>
      </c>
      <c r="J36" s="155">
        <f t="shared" si="6"/>
        <v>92.660220588839024</v>
      </c>
      <c r="K36" s="153">
        <f t="shared" si="6"/>
        <v>2.1985000407597624</v>
      </c>
      <c r="L36" s="154">
        <f t="shared" si="6"/>
        <v>0.7770534550195568</v>
      </c>
      <c r="M36" s="156">
        <f t="shared" si="6"/>
        <v>9.51</v>
      </c>
    </row>
  </sheetData>
  <printOptions horizontalCentered="1"/>
  <pageMargins left="0" right="0" top="0.5" bottom="0.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6"/>
  <sheetViews>
    <sheetView zoomScaleNormal="100" workbookViewId="0">
      <selection activeCell="R9" sqref="R9"/>
    </sheetView>
  </sheetViews>
  <sheetFormatPr defaultColWidth="9.109375" defaultRowHeight="13.2" x14ac:dyDescent="0.25"/>
  <cols>
    <col min="1" max="1" width="13" style="127" customWidth="1"/>
    <col min="2" max="14" width="10.6640625" style="127" customWidth="1"/>
    <col min="15" max="16384" width="9.109375" style="127"/>
  </cols>
  <sheetData>
    <row r="1" spans="1:14" ht="30.75" customHeight="1" thickBot="1" x14ac:dyDescent="0.3">
      <c r="A1" s="157" t="s">
        <v>50</v>
      </c>
      <c r="B1" s="125" t="s">
        <v>41</v>
      </c>
      <c r="C1" s="123" t="s">
        <v>42</v>
      </c>
      <c r="D1" s="123" t="s">
        <v>43</v>
      </c>
      <c r="E1" s="123" t="s">
        <v>0</v>
      </c>
      <c r="F1" s="123" t="s">
        <v>1</v>
      </c>
      <c r="G1" s="123" t="s">
        <v>57</v>
      </c>
      <c r="H1" s="123" t="s">
        <v>46</v>
      </c>
      <c r="I1" s="123" t="s">
        <v>60</v>
      </c>
      <c r="J1" s="124" t="s">
        <v>58</v>
      </c>
      <c r="K1" s="125" t="s">
        <v>2</v>
      </c>
      <c r="L1" s="123" t="s">
        <v>51</v>
      </c>
      <c r="M1" s="123" t="s">
        <v>52</v>
      </c>
      <c r="N1" s="126" t="s">
        <v>59</v>
      </c>
    </row>
    <row r="2" spans="1:14" ht="21" customHeight="1" thickTop="1" x14ac:dyDescent="0.25">
      <c r="B2" s="159">
        <v>13.327500000000001</v>
      </c>
      <c r="C2" s="160">
        <v>2.6575000000000002</v>
      </c>
      <c r="D2" s="160">
        <v>3.3133333333333339</v>
      </c>
      <c r="E2" s="160">
        <v>40.650833333333331</v>
      </c>
      <c r="F2" s="160">
        <v>2.6875</v>
      </c>
      <c r="G2" s="160">
        <v>0.16166666666666665</v>
      </c>
      <c r="H2" s="160">
        <v>5.7500000000000016E-2</v>
      </c>
      <c r="I2" s="160">
        <v>0.30583333333333329</v>
      </c>
      <c r="J2" s="161">
        <v>4.9999999999999996E-2</v>
      </c>
      <c r="K2" s="116">
        <f t="shared" ref="K2:K29" si="0">IF(B2="","",100*E2/(2.8*B2+1.18*C2+0.65*D2))</f>
        <v>95.409896216971504</v>
      </c>
      <c r="L2" s="117">
        <f t="shared" ref="L2:L29" si="1">IF(B2="","",B2/(C2+D2))</f>
        <v>2.2321004884856941</v>
      </c>
      <c r="M2" s="118">
        <f t="shared" ref="M2:M29" si="2">IF(C2="","",C2/D2)</f>
        <v>0.80206237424547278</v>
      </c>
      <c r="N2" s="162">
        <v>11.53</v>
      </c>
    </row>
    <row r="3" spans="1:14" ht="21" customHeight="1" x14ac:dyDescent="0.25">
      <c r="A3" s="158">
        <v>1</v>
      </c>
      <c r="B3" s="136">
        <v>13.336666666666666</v>
      </c>
      <c r="C3" s="137">
        <v>2.6633333333333331</v>
      </c>
      <c r="D3" s="137">
        <v>3.3341666666666665</v>
      </c>
      <c r="E3" s="137">
        <v>40.792499999999997</v>
      </c>
      <c r="F3" s="163">
        <v>2.7116666666666664</v>
      </c>
      <c r="G3" s="137">
        <v>0.16666666666666663</v>
      </c>
      <c r="H3" s="137">
        <v>5.7500000000000016E-2</v>
      </c>
      <c r="I3" s="120">
        <v>0.30916666666666665</v>
      </c>
      <c r="J3" s="164">
        <v>4.9999999999999996E-2</v>
      </c>
      <c r="K3" s="116">
        <f t="shared" si="0"/>
        <v>95.638934156625439</v>
      </c>
      <c r="L3" s="117">
        <f t="shared" si="1"/>
        <v>2.2237043212449632</v>
      </c>
      <c r="M3" s="118">
        <f t="shared" si="2"/>
        <v>0.79880029992501866</v>
      </c>
      <c r="N3" s="165">
        <v>10.87</v>
      </c>
    </row>
    <row r="4" spans="1:14" ht="21" customHeight="1" x14ac:dyDescent="0.25">
      <c r="A4" s="135">
        <v>2</v>
      </c>
      <c r="B4" s="136">
        <v>13.35416666666667</v>
      </c>
      <c r="C4" s="137">
        <v>2.5841666666666669</v>
      </c>
      <c r="D4" s="137">
        <v>3.2266666666666666</v>
      </c>
      <c r="E4" s="137">
        <v>40.766666666666659</v>
      </c>
      <c r="F4" s="163">
        <v>2.7216666666666671</v>
      </c>
      <c r="G4" s="137">
        <v>0.18916666666666668</v>
      </c>
      <c r="H4" s="137">
        <v>5.7500000000000016E-2</v>
      </c>
      <c r="I4" s="120">
        <v>0.31424999999999997</v>
      </c>
      <c r="J4" s="164">
        <v>4.9999999999999996E-2</v>
      </c>
      <c r="K4" s="116">
        <f t="shared" si="0"/>
        <v>95.835166647794765</v>
      </c>
      <c r="L4" s="117">
        <f t="shared" si="1"/>
        <v>2.2981500071705154</v>
      </c>
      <c r="M4" s="118">
        <f t="shared" si="2"/>
        <v>0.80087809917355379</v>
      </c>
      <c r="N4" s="165">
        <v>10.63</v>
      </c>
    </row>
    <row r="5" spans="1:14" ht="21" customHeight="1" x14ac:dyDescent="0.25">
      <c r="A5" s="135">
        <v>3</v>
      </c>
      <c r="B5" s="166">
        <v>13.413333333333334</v>
      </c>
      <c r="C5" s="137">
        <v>2.5591666666666666</v>
      </c>
      <c r="D5" s="137">
        <v>3.1375000000000006</v>
      </c>
      <c r="E5" s="137">
        <v>40.81583333333333</v>
      </c>
      <c r="F5" s="163">
        <v>2.7191666666666667</v>
      </c>
      <c r="G5" s="137">
        <v>0.18999999999999997</v>
      </c>
      <c r="H5" s="137">
        <v>5.8333333333333348E-2</v>
      </c>
      <c r="I5" s="120">
        <v>0.30916666666666665</v>
      </c>
      <c r="J5" s="164">
        <v>4.9999999999999996E-2</v>
      </c>
      <c r="K5" s="116">
        <f>IF(B5="","",100*E5/(2.8*B5+1.18*C5+0.65*D5))</f>
        <v>95.774663310378628</v>
      </c>
      <c r="L5" s="117">
        <f>IF(B5="","",B5/(C5+D5))</f>
        <v>2.3545933294324164</v>
      </c>
      <c r="M5" s="118">
        <f>IF(C5="","",C5/D5)</f>
        <v>0.81567065073041145</v>
      </c>
      <c r="N5" s="165">
        <v>11.02</v>
      </c>
    </row>
    <row r="6" spans="1:14" ht="21" customHeight="1" x14ac:dyDescent="0.25">
      <c r="A6" s="158">
        <v>4</v>
      </c>
      <c r="B6" s="166">
        <v>13.385833333333332</v>
      </c>
      <c r="C6" s="137">
        <v>2.5908333333333333</v>
      </c>
      <c r="D6" s="137">
        <v>3.0841666666666665</v>
      </c>
      <c r="E6" s="137">
        <v>40.703749999999992</v>
      </c>
      <c r="F6" s="163">
        <v>2.6658333333333335</v>
      </c>
      <c r="G6" s="137">
        <v>0.20249999999999999</v>
      </c>
      <c r="H6" s="137">
        <v>5.966666666666668E-2</v>
      </c>
      <c r="I6" s="120">
        <v>0.25416666666666665</v>
      </c>
      <c r="J6" s="164">
        <v>4.9999999999999996E-2</v>
      </c>
      <c r="K6" s="116">
        <f t="shared" si="0"/>
        <v>95.678470037709587</v>
      </c>
      <c r="L6" s="117">
        <f t="shared" si="1"/>
        <v>2.3587371512481643</v>
      </c>
      <c r="M6" s="118">
        <f t="shared" si="2"/>
        <v>0.84004323155903815</v>
      </c>
      <c r="N6" s="165">
        <v>10.97</v>
      </c>
    </row>
    <row r="7" spans="1:14" ht="21" customHeight="1" x14ac:dyDescent="0.25">
      <c r="A7" s="135">
        <v>5</v>
      </c>
      <c r="B7" s="166">
        <v>13.339166666666669</v>
      </c>
      <c r="C7" s="137">
        <v>2.6824999999999997</v>
      </c>
      <c r="D7" s="137">
        <v>3.1350000000000002</v>
      </c>
      <c r="E7" s="137">
        <v>40.619166666666665</v>
      </c>
      <c r="F7" s="137">
        <v>2.6325000000000003</v>
      </c>
      <c r="G7" s="167">
        <v>0.2091666666666667</v>
      </c>
      <c r="H7" s="167">
        <v>5.9083333333333342E-2</v>
      </c>
      <c r="I7" s="120">
        <v>0.28999999999999998</v>
      </c>
      <c r="J7" s="138">
        <v>4.9999999999999996E-2</v>
      </c>
      <c r="K7" s="116">
        <f t="shared" si="0"/>
        <v>95.455994635679772</v>
      </c>
      <c r="L7" s="117">
        <f t="shared" si="1"/>
        <v>2.2929379745022209</v>
      </c>
      <c r="M7" s="118">
        <f t="shared" si="2"/>
        <v>0.85566188197767123</v>
      </c>
      <c r="N7" s="115">
        <v>10.69</v>
      </c>
    </row>
    <row r="8" spans="1:14" ht="21" customHeight="1" x14ac:dyDescent="0.25">
      <c r="A8" s="135">
        <v>6</v>
      </c>
      <c r="B8" s="166">
        <v>13.26333333333333</v>
      </c>
      <c r="C8" s="137">
        <v>2.7550000000000003</v>
      </c>
      <c r="D8" s="137">
        <v>3.1183333333333336</v>
      </c>
      <c r="E8" s="137">
        <v>40.770833333333343</v>
      </c>
      <c r="F8" s="137">
        <v>2.6558333333333333</v>
      </c>
      <c r="G8" s="137">
        <v>0.21750000000000003</v>
      </c>
      <c r="H8" s="137">
        <v>6.9166666666666668E-2</v>
      </c>
      <c r="I8" s="120">
        <v>0.28000000000000003</v>
      </c>
      <c r="J8" s="138">
        <v>4.4999999999999991E-2</v>
      </c>
      <c r="K8" s="116">
        <f t="shared" si="0"/>
        <v>96.123279850085055</v>
      </c>
      <c r="L8" s="117">
        <f t="shared" si="1"/>
        <v>2.2582292849035182</v>
      </c>
      <c r="M8" s="118">
        <f t="shared" si="2"/>
        <v>0.88348476750400862</v>
      </c>
      <c r="N8" s="165">
        <v>9.94</v>
      </c>
    </row>
    <row r="9" spans="1:14" ht="21" customHeight="1" x14ac:dyDescent="0.25">
      <c r="A9" s="158">
        <v>7</v>
      </c>
      <c r="B9" s="166">
        <v>13.220833333333331</v>
      </c>
      <c r="C9" s="137">
        <v>2.813333333333333</v>
      </c>
      <c r="D9" s="137">
        <v>3.124166666666667</v>
      </c>
      <c r="E9" s="137">
        <v>40.7425</v>
      </c>
      <c r="F9" s="137">
        <v>2.6391666666666667</v>
      </c>
      <c r="G9" s="137">
        <v>0.18666666666666665</v>
      </c>
      <c r="H9" s="137">
        <v>7.2500000000000009E-2</v>
      </c>
      <c r="I9" s="120">
        <v>0.27083333333333331</v>
      </c>
      <c r="J9" s="138">
        <v>4.583333333333333E-2</v>
      </c>
      <c r="K9" s="116">
        <f t="shared" si="0"/>
        <v>96.161619022499494</v>
      </c>
      <c r="L9" s="117">
        <f t="shared" si="1"/>
        <v>2.2266666666666661</v>
      </c>
      <c r="M9" s="118">
        <f t="shared" si="2"/>
        <v>0.90050680181381682</v>
      </c>
      <c r="N9" s="165">
        <v>9.77</v>
      </c>
    </row>
    <row r="10" spans="1:14" ht="21" customHeight="1" x14ac:dyDescent="0.25">
      <c r="A10" s="135">
        <v>8</v>
      </c>
      <c r="B10" s="119">
        <v>13.291666666666666</v>
      </c>
      <c r="C10" s="120">
        <v>2.7791666666666668</v>
      </c>
      <c r="D10" s="120">
        <v>3.1108333333333333</v>
      </c>
      <c r="E10" s="120">
        <v>40.608333333333327</v>
      </c>
      <c r="F10" s="120">
        <v>2.7349999999999999</v>
      </c>
      <c r="G10" s="120">
        <v>0.17999999999999997</v>
      </c>
      <c r="H10" s="120">
        <v>7.4166666666666659E-2</v>
      </c>
      <c r="I10" s="137">
        <v>0.26750000000000002</v>
      </c>
      <c r="J10" s="121">
        <v>4.416666666666666E-2</v>
      </c>
      <c r="K10" s="116">
        <f t="shared" si="0"/>
        <v>95.508288132022116</v>
      </c>
      <c r="L10" s="117">
        <f t="shared" si="1"/>
        <v>2.2566496887379737</v>
      </c>
      <c r="M10" s="118">
        <f t="shared" si="2"/>
        <v>0.89338333779801771</v>
      </c>
      <c r="N10" s="115">
        <v>10.02</v>
      </c>
    </row>
    <row r="11" spans="1:14" ht="21" customHeight="1" x14ac:dyDescent="0.25">
      <c r="A11" s="135">
        <v>9</v>
      </c>
      <c r="B11" s="136">
        <v>13.315833333333332</v>
      </c>
      <c r="C11" s="137">
        <v>2.7158333333333338</v>
      </c>
      <c r="D11" s="137">
        <v>3.0666666666666669</v>
      </c>
      <c r="E11" s="137">
        <v>40.609999999999992</v>
      </c>
      <c r="F11" s="137">
        <v>2.7883333333333327</v>
      </c>
      <c r="G11" s="137">
        <v>0.1633333333333333</v>
      </c>
      <c r="H11" s="137">
        <v>7.166666666666667E-2</v>
      </c>
      <c r="I11" s="137">
        <v>0.26166666666666666</v>
      </c>
      <c r="J11" s="138">
        <v>3.9999999999999994E-2</v>
      </c>
      <c r="K11" s="116">
        <f t="shared" si="0"/>
        <v>95.592640237651622</v>
      </c>
      <c r="L11" s="117">
        <f t="shared" si="1"/>
        <v>2.3027813806023918</v>
      </c>
      <c r="M11" s="118">
        <f t="shared" si="2"/>
        <v>0.88559782608695659</v>
      </c>
      <c r="N11" s="165">
        <v>10.11</v>
      </c>
    </row>
    <row r="12" spans="1:14" ht="21" customHeight="1" x14ac:dyDescent="0.25">
      <c r="A12" s="158">
        <v>10</v>
      </c>
      <c r="B12" s="136">
        <v>13.378333333333332</v>
      </c>
      <c r="C12" s="137">
        <v>2.7183333333333333</v>
      </c>
      <c r="D12" s="137">
        <v>3.0708333333333333</v>
      </c>
      <c r="E12" s="137">
        <v>40.776666666666671</v>
      </c>
      <c r="F12" s="137">
        <v>2.7899999999999996</v>
      </c>
      <c r="G12" s="137">
        <v>0.14583333333333334</v>
      </c>
      <c r="H12" s="137">
        <v>7.0833333333333359E-2</v>
      </c>
      <c r="I12" s="137">
        <v>0.26249999999999996</v>
      </c>
      <c r="J12" s="138">
        <v>3.9999999999999994E-2</v>
      </c>
      <c r="K12" s="116">
        <f t="shared" si="0"/>
        <v>95.578507610320528</v>
      </c>
      <c r="L12" s="117">
        <f t="shared" si="1"/>
        <v>2.3109255793867853</v>
      </c>
      <c r="M12" s="118">
        <f t="shared" si="2"/>
        <v>0.88521031207598366</v>
      </c>
      <c r="N12" s="165">
        <v>9.64</v>
      </c>
    </row>
    <row r="13" spans="1:14" ht="21" customHeight="1" x14ac:dyDescent="0.25">
      <c r="A13" s="135">
        <v>11</v>
      </c>
      <c r="B13" s="136">
        <v>13.370000000000003</v>
      </c>
      <c r="C13" s="137">
        <v>2.6799999999999997</v>
      </c>
      <c r="D13" s="137">
        <v>3.0591666666666661</v>
      </c>
      <c r="E13" s="137">
        <v>40.645833333333336</v>
      </c>
      <c r="F13" s="137">
        <v>2.8258333333333332</v>
      </c>
      <c r="G13" s="137">
        <v>0.14083333333333337</v>
      </c>
      <c r="H13" s="137">
        <v>7.1666666666666684E-2</v>
      </c>
      <c r="I13" s="137">
        <v>0.26416666666666666</v>
      </c>
      <c r="J13" s="138">
        <v>3.9999999999999994E-2</v>
      </c>
      <c r="K13" s="116">
        <f t="shared" si="0"/>
        <v>95.442197250599406</v>
      </c>
      <c r="L13" s="117">
        <f t="shared" si="1"/>
        <v>2.3296065050094388</v>
      </c>
      <c r="M13" s="118">
        <f t="shared" si="2"/>
        <v>0.8760555706891856</v>
      </c>
      <c r="N13" s="165">
        <v>9.34</v>
      </c>
    </row>
    <row r="14" spans="1:14" ht="21" customHeight="1" x14ac:dyDescent="0.25">
      <c r="A14" s="135">
        <v>12</v>
      </c>
      <c r="B14" s="136">
        <v>13.315000000000003</v>
      </c>
      <c r="C14" s="137">
        <v>2.6658333333333331</v>
      </c>
      <c r="D14" s="137">
        <v>3.0533333333333328</v>
      </c>
      <c r="E14" s="137">
        <v>40.569166666666661</v>
      </c>
      <c r="F14" s="137">
        <v>2.8358333333333334</v>
      </c>
      <c r="G14" s="137">
        <v>0.14749999999999996</v>
      </c>
      <c r="H14" s="137">
        <v>9.2249999999999999E-2</v>
      </c>
      <c r="I14" s="137">
        <v>0.26833333333333337</v>
      </c>
      <c r="J14" s="138">
        <v>3.9999999999999994E-2</v>
      </c>
      <c r="K14" s="116">
        <f t="shared" si="0"/>
        <v>95.654135332436553</v>
      </c>
      <c r="L14" s="117">
        <f t="shared" si="1"/>
        <v>2.3281363835057562</v>
      </c>
      <c r="M14" s="118">
        <f t="shared" si="2"/>
        <v>0.87308951965065507</v>
      </c>
      <c r="N14" s="115">
        <v>9.9600000000000009</v>
      </c>
    </row>
    <row r="15" spans="1:14" ht="21" customHeight="1" x14ac:dyDescent="0.25">
      <c r="A15" s="158">
        <v>13</v>
      </c>
      <c r="B15" s="136">
        <v>13.325000000000001</v>
      </c>
      <c r="C15" s="137">
        <v>2.6708333333333329</v>
      </c>
      <c r="D15" s="137">
        <v>3.0400000000000005</v>
      </c>
      <c r="E15" s="137">
        <v>40.719166666666659</v>
      </c>
      <c r="F15" s="137">
        <v>2.7883333333333336</v>
      </c>
      <c r="G15" s="137">
        <v>0.14916666666666664</v>
      </c>
      <c r="H15" s="137">
        <v>7.0833333333333359E-2</v>
      </c>
      <c r="I15" s="137">
        <v>0.27500000000000008</v>
      </c>
      <c r="J15" s="138">
        <v>3.9999999999999994E-2</v>
      </c>
      <c r="K15" s="116">
        <f t="shared" si="0"/>
        <v>95.950719782582638</v>
      </c>
      <c r="L15" s="117">
        <f t="shared" si="1"/>
        <v>2.3332846928352549</v>
      </c>
      <c r="M15" s="118">
        <f t="shared" si="2"/>
        <v>0.87856359649122784</v>
      </c>
      <c r="N15" s="115">
        <v>9.5299999999999994</v>
      </c>
    </row>
    <row r="16" spans="1:14" ht="21" customHeight="1" x14ac:dyDescent="0.25">
      <c r="A16" s="135">
        <v>14</v>
      </c>
      <c r="B16" s="136">
        <v>13.359166666666667</v>
      </c>
      <c r="C16" s="137">
        <v>2.5858333333333334</v>
      </c>
      <c r="D16" s="137">
        <v>3.0370833333333334</v>
      </c>
      <c r="E16" s="137">
        <v>40.545000000000002</v>
      </c>
      <c r="F16" s="137">
        <v>2.8158333333333339</v>
      </c>
      <c r="G16" s="137">
        <v>0.16499999999999998</v>
      </c>
      <c r="H16" s="137">
        <v>7.333333333333332E-2</v>
      </c>
      <c r="I16" s="137">
        <v>0.28083333333333343</v>
      </c>
      <c r="J16" s="138">
        <v>3.9999999999999994E-2</v>
      </c>
      <c r="K16" s="116">
        <f t="shared" si="0"/>
        <v>95.555014590826929</v>
      </c>
      <c r="L16" s="117">
        <f t="shared" si="1"/>
        <v>2.3758429047795482</v>
      </c>
      <c r="M16" s="118">
        <f t="shared" si="2"/>
        <v>0.85141994786664843</v>
      </c>
      <c r="N16" s="165">
        <v>10.199999999999999</v>
      </c>
    </row>
    <row r="17" spans="1:14" ht="21" customHeight="1" x14ac:dyDescent="0.25">
      <c r="A17" s="135">
        <v>15</v>
      </c>
      <c r="B17" s="136">
        <v>13.3825</v>
      </c>
      <c r="C17" s="137">
        <v>2.5733333333333337</v>
      </c>
      <c r="D17" s="137">
        <v>3.0383333333333336</v>
      </c>
      <c r="E17" s="137">
        <v>40.610000000000007</v>
      </c>
      <c r="F17" s="137">
        <v>2.7958333333333338</v>
      </c>
      <c r="G17" s="137">
        <v>0.17666666666666664</v>
      </c>
      <c r="H17" s="137">
        <v>7.166666666666667E-2</v>
      </c>
      <c r="I17" s="137">
        <v>0.28416666666666668</v>
      </c>
      <c r="J17" s="138">
        <v>3.9999999999999994E-2</v>
      </c>
      <c r="K17" s="116">
        <f t="shared" si="0"/>
        <v>95.59241522087359</v>
      </c>
      <c r="L17" s="117">
        <f t="shared" si="1"/>
        <v>2.3847638847638848</v>
      </c>
      <c r="M17" s="118">
        <f t="shared" si="2"/>
        <v>0.84695556774547454</v>
      </c>
      <c r="N17" s="165">
        <v>10.24</v>
      </c>
    </row>
    <row r="18" spans="1:14" ht="21" customHeight="1" x14ac:dyDescent="0.25">
      <c r="A18" s="158">
        <v>16</v>
      </c>
      <c r="B18" s="136">
        <v>13.4</v>
      </c>
      <c r="C18" s="137">
        <v>2.5758333333333332</v>
      </c>
      <c r="D18" s="137">
        <v>3.0591666666666666</v>
      </c>
      <c r="E18" s="137">
        <v>40.655000000000001</v>
      </c>
      <c r="F18" s="137">
        <v>2.5858333333333339</v>
      </c>
      <c r="G18" s="137">
        <v>0.2166666666666667</v>
      </c>
      <c r="H18" s="137">
        <v>7.4999999999999997E-2</v>
      </c>
      <c r="I18" s="137">
        <v>0.29083333333333333</v>
      </c>
      <c r="J18" s="138">
        <v>0.29000000000000004</v>
      </c>
      <c r="K18" s="116">
        <f t="shared" si="0"/>
        <v>95.551038211209985</v>
      </c>
      <c r="L18" s="117">
        <f t="shared" si="1"/>
        <v>2.3779946761313222</v>
      </c>
      <c r="M18" s="118">
        <f t="shared" si="2"/>
        <v>0.84200490329610456</v>
      </c>
      <c r="N18" s="165">
        <v>9.84</v>
      </c>
    </row>
    <row r="19" spans="1:14" ht="21" customHeight="1" x14ac:dyDescent="0.25">
      <c r="A19" s="135">
        <v>17</v>
      </c>
      <c r="B19" s="136">
        <v>13.308333333333335</v>
      </c>
      <c r="C19" s="137">
        <v>2.6158333333333332</v>
      </c>
      <c r="D19" s="137">
        <v>3.0675000000000003</v>
      </c>
      <c r="E19" s="137">
        <v>40.835833333333319</v>
      </c>
      <c r="F19" s="137">
        <v>2.6266666666666665</v>
      </c>
      <c r="G19" s="137">
        <v>0.20666666666666667</v>
      </c>
      <c r="H19" s="137">
        <v>7.2500000000000009E-2</v>
      </c>
      <c r="I19" s="137">
        <v>0.29333333333333328</v>
      </c>
      <c r="J19" s="138">
        <v>3.9999999999999994E-2</v>
      </c>
      <c r="K19" s="116">
        <f t="shared" si="0"/>
        <v>96.438545740658739</v>
      </c>
      <c r="L19" s="117">
        <f t="shared" si="1"/>
        <v>2.3416422287390031</v>
      </c>
      <c r="M19" s="118">
        <f t="shared" si="2"/>
        <v>0.85275740287965218</v>
      </c>
      <c r="N19" s="165">
        <v>9.73</v>
      </c>
    </row>
    <row r="20" spans="1:14" ht="21" customHeight="1" x14ac:dyDescent="0.25">
      <c r="A20" s="135">
        <v>18</v>
      </c>
      <c r="B20" s="168">
        <v>13.308181818181817</v>
      </c>
      <c r="C20" s="169">
        <v>2.6563636363636363</v>
      </c>
      <c r="D20" s="169">
        <v>3.1018181818181816</v>
      </c>
      <c r="E20" s="169">
        <v>40.812727272727273</v>
      </c>
      <c r="F20" s="169">
        <v>2.5472727272727269</v>
      </c>
      <c r="G20" s="169">
        <v>0.19545454545454544</v>
      </c>
      <c r="H20" s="169">
        <v>7.0909090909090935E-2</v>
      </c>
      <c r="I20" s="169">
        <v>0.29272727272727272</v>
      </c>
      <c r="J20" s="170">
        <v>3.9999999999999994E-2</v>
      </c>
      <c r="K20" s="116">
        <f t="shared" si="0"/>
        <v>96.225567442346971</v>
      </c>
      <c r="L20" s="117">
        <f t="shared" si="1"/>
        <v>2.3111777707609726</v>
      </c>
      <c r="M20" s="118">
        <f t="shared" si="2"/>
        <v>0.85638921453692851</v>
      </c>
      <c r="N20" s="165">
        <v>9.5500000000000007</v>
      </c>
    </row>
    <row r="21" spans="1:14" ht="21" customHeight="1" x14ac:dyDescent="0.25">
      <c r="A21" s="158">
        <v>19</v>
      </c>
      <c r="B21" s="136">
        <v>13.345833333333333</v>
      </c>
      <c r="C21" s="137">
        <v>2.7058333333333331</v>
      </c>
      <c r="D21" s="137">
        <v>3.1558333333333337</v>
      </c>
      <c r="E21" s="137">
        <v>40.634999999999998</v>
      </c>
      <c r="F21" s="137">
        <v>2.5483333333333329</v>
      </c>
      <c r="G21" s="137">
        <v>0.21916666666666665</v>
      </c>
      <c r="H21" s="137">
        <v>7.333333333333332E-2</v>
      </c>
      <c r="I21" s="137">
        <v>0.30166666666666664</v>
      </c>
      <c r="J21" s="138">
        <v>3.9999999999999994E-2</v>
      </c>
      <c r="K21" s="116">
        <f t="shared" si="0"/>
        <v>95.359324267268164</v>
      </c>
      <c r="L21" s="117">
        <f t="shared" si="1"/>
        <v>2.2767984077338643</v>
      </c>
      <c r="M21" s="118">
        <f t="shared" si="2"/>
        <v>0.85740691840506977</v>
      </c>
      <c r="N21" s="165">
        <v>10.1</v>
      </c>
    </row>
    <row r="22" spans="1:14" ht="21" customHeight="1" x14ac:dyDescent="0.25">
      <c r="A22" s="135">
        <v>20</v>
      </c>
      <c r="B22" s="168">
        <v>13.331666666666665</v>
      </c>
      <c r="C22" s="169">
        <v>2.6458333333333335</v>
      </c>
      <c r="D22" s="169">
        <v>3.1558333333333337</v>
      </c>
      <c r="E22" s="169">
        <v>40.575833333333343</v>
      </c>
      <c r="F22" s="169">
        <v>2.5466666666666664</v>
      </c>
      <c r="G22" s="169">
        <v>0.21666666666666667</v>
      </c>
      <c r="H22" s="169">
        <v>7.0000000000000021E-2</v>
      </c>
      <c r="I22" s="169">
        <v>0.29916666666666664</v>
      </c>
      <c r="J22" s="170">
        <v>3.9999999999999994E-2</v>
      </c>
      <c r="K22" s="116">
        <f t="shared" si="0"/>
        <v>95.467962813551139</v>
      </c>
      <c r="L22" s="117">
        <f t="shared" si="1"/>
        <v>2.2979029014650956</v>
      </c>
      <c r="M22" s="118">
        <f t="shared" si="2"/>
        <v>0.83839450752574596</v>
      </c>
      <c r="N22" s="165">
        <v>10.81</v>
      </c>
    </row>
    <row r="23" spans="1:14" ht="21" customHeight="1" x14ac:dyDescent="0.25">
      <c r="A23" s="135">
        <v>21</v>
      </c>
      <c r="B23" s="136">
        <v>13.363333333333335</v>
      </c>
      <c r="C23" s="137">
        <v>2.6741666666666668</v>
      </c>
      <c r="D23" s="137">
        <v>3.1116666666666664</v>
      </c>
      <c r="E23" s="137">
        <v>40.725833333333334</v>
      </c>
      <c r="F23" s="137">
        <v>2.5175000000000001</v>
      </c>
      <c r="G23" s="137">
        <v>0.19749999999999998</v>
      </c>
      <c r="H23" s="137">
        <v>7.1666666666666698E-2</v>
      </c>
      <c r="I23" s="137">
        <v>0.30833333333333335</v>
      </c>
      <c r="J23" s="138">
        <v>3.9999999999999994E-2</v>
      </c>
      <c r="K23" s="116">
        <f t="shared" si="0"/>
        <v>95.610797088576788</v>
      </c>
      <c r="L23" s="117">
        <f t="shared" si="1"/>
        <v>2.3096644101973216</v>
      </c>
      <c r="M23" s="118">
        <f t="shared" si="2"/>
        <v>0.85940010712372805</v>
      </c>
      <c r="N23" s="165">
        <v>10.61</v>
      </c>
    </row>
    <row r="24" spans="1:14" ht="21" customHeight="1" x14ac:dyDescent="0.25">
      <c r="A24" s="158">
        <v>22</v>
      </c>
      <c r="B24" s="168">
        <v>13.399166666666666</v>
      </c>
      <c r="C24" s="169">
        <v>2.6308333333333334</v>
      </c>
      <c r="D24" s="169">
        <v>3.0966666666666676</v>
      </c>
      <c r="E24" s="169">
        <v>40.751666666666665</v>
      </c>
      <c r="F24" s="169">
        <v>2.563333333333333</v>
      </c>
      <c r="G24" s="169">
        <v>0.19416666666666663</v>
      </c>
      <c r="H24" s="169">
        <v>7.2500000000000023E-2</v>
      </c>
      <c r="I24" s="169">
        <v>0.30499999999999994</v>
      </c>
      <c r="J24" s="170">
        <v>3.9999999999999994E-2</v>
      </c>
      <c r="K24" s="116">
        <f t="shared" si="0"/>
        <v>95.582920558400346</v>
      </c>
      <c r="L24" s="117">
        <f t="shared" si="1"/>
        <v>2.3394442019496577</v>
      </c>
      <c r="M24" s="118">
        <f t="shared" si="2"/>
        <v>0.84956942949407943</v>
      </c>
      <c r="N24" s="165">
        <v>10.68</v>
      </c>
    </row>
    <row r="25" spans="1:14" ht="21" customHeight="1" x14ac:dyDescent="0.25">
      <c r="A25" s="135">
        <v>23</v>
      </c>
      <c r="B25" s="168">
        <v>13.346666666666664</v>
      </c>
      <c r="C25" s="169">
        <v>2.624166666666667</v>
      </c>
      <c r="D25" s="169">
        <v>3.0783333333333331</v>
      </c>
      <c r="E25" s="169">
        <v>40.636666666666663</v>
      </c>
      <c r="F25" s="169">
        <v>2.5858333333333334</v>
      </c>
      <c r="G25" s="169">
        <v>0.21500000000000005</v>
      </c>
      <c r="H25" s="169">
        <v>7.4166666666666659E-2</v>
      </c>
      <c r="I25" s="169">
        <v>0.3</v>
      </c>
      <c r="J25" s="138">
        <v>4.0833333333333326E-2</v>
      </c>
      <c r="K25" s="116">
        <f t="shared" si="0"/>
        <v>95.687508192423664</v>
      </c>
      <c r="L25" s="117">
        <f t="shared" si="1"/>
        <v>2.3404939354084457</v>
      </c>
      <c r="M25" s="118">
        <f t="shared" si="2"/>
        <v>0.85246345425013548</v>
      </c>
      <c r="N25" s="165">
        <v>10.44</v>
      </c>
    </row>
    <row r="26" spans="1:14" ht="21" customHeight="1" x14ac:dyDescent="0.25">
      <c r="A26" s="135">
        <v>24</v>
      </c>
      <c r="B26" s="168">
        <v>13.381749999999998</v>
      </c>
      <c r="C26" s="169">
        <v>2.61</v>
      </c>
      <c r="D26" s="169">
        <v>3.0583333333333331</v>
      </c>
      <c r="E26" s="169">
        <v>40.698333333333331</v>
      </c>
      <c r="F26" s="169">
        <v>2.5991666666666666</v>
      </c>
      <c r="G26" s="169">
        <v>0.20166666666666669</v>
      </c>
      <c r="H26" s="169">
        <v>7.4166666666666672E-2</v>
      </c>
      <c r="I26" s="169">
        <v>0.29749999999999999</v>
      </c>
      <c r="J26" s="138">
        <v>4.2499999999999989E-2</v>
      </c>
      <c r="K26" s="116">
        <f t="shared" si="0"/>
        <v>95.678350848308369</v>
      </c>
      <c r="L26" s="117">
        <f t="shared" si="1"/>
        <v>2.3607909438400467</v>
      </c>
      <c r="M26" s="118">
        <f t="shared" si="2"/>
        <v>0.85340599455040878</v>
      </c>
      <c r="N26" s="165">
        <v>10.77</v>
      </c>
    </row>
    <row r="27" spans="1:14" ht="21" customHeight="1" x14ac:dyDescent="0.25">
      <c r="A27" s="158">
        <v>25</v>
      </c>
      <c r="B27" s="116">
        <v>13.388333333333334</v>
      </c>
      <c r="C27" s="117">
        <v>2.6133333333333328</v>
      </c>
      <c r="D27" s="117">
        <v>3.1</v>
      </c>
      <c r="E27" s="117">
        <v>40.67</v>
      </c>
      <c r="F27" s="117">
        <v>2.6116666666666664</v>
      </c>
      <c r="G27" s="117">
        <v>0.20416666666666669</v>
      </c>
      <c r="H27" s="117">
        <v>7.166666666666667E-2</v>
      </c>
      <c r="I27" s="117">
        <v>0.30166666666666664</v>
      </c>
      <c r="J27" s="138">
        <v>4.3333333333333328E-2</v>
      </c>
      <c r="K27" s="116">
        <f>IF(B27="","",100*E27/(2.8*B27+1.18*C27+0.65*D27))</f>
        <v>95.500719327604799</v>
      </c>
      <c r="L27" s="117">
        <f>IF(B27="","",B27/(C27+D27))</f>
        <v>2.3433488914819138</v>
      </c>
      <c r="M27" s="118">
        <f>IF(C27="","",C27/D27)</f>
        <v>0.84301075268817183</v>
      </c>
      <c r="N27" s="165">
        <v>10.8</v>
      </c>
    </row>
    <row r="28" spans="1:14" ht="21" customHeight="1" x14ac:dyDescent="0.25">
      <c r="A28" s="135">
        <v>26</v>
      </c>
      <c r="B28" s="116">
        <v>13.248333333333335</v>
      </c>
      <c r="C28" s="117">
        <v>2.6866666666666661</v>
      </c>
      <c r="D28" s="117">
        <v>3.1266666666666669</v>
      </c>
      <c r="E28" s="117">
        <v>40.704166666666659</v>
      </c>
      <c r="F28" s="117">
        <v>2.6358333333333337</v>
      </c>
      <c r="G28" s="117">
        <v>0.23</v>
      </c>
      <c r="H28" s="117">
        <v>7.0833333333333359E-2</v>
      </c>
      <c r="I28" s="117">
        <v>0.30583333333333335</v>
      </c>
      <c r="J28" s="138">
        <v>4.0833333333333326E-2</v>
      </c>
      <c r="K28" s="116">
        <f t="shared" si="0"/>
        <v>96.232046010128144</v>
      </c>
      <c r="L28" s="117">
        <f t="shared" si="1"/>
        <v>2.2789564220183491</v>
      </c>
      <c r="M28" s="118">
        <f t="shared" si="2"/>
        <v>0.85927505330490384</v>
      </c>
      <c r="N28" s="165">
        <v>10.76</v>
      </c>
    </row>
    <row r="29" spans="1:14" ht="21" customHeight="1" x14ac:dyDescent="0.25">
      <c r="A29" s="135">
        <v>27</v>
      </c>
      <c r="B29" s="116">
        <v>13.277500000000002</v>
      </c>
      <c r="C29" s="117">
        <v>2.69</v>
      </c>
      <c r="D29" s="117">
        <v>3.1316666666666664</v>
      </c>
      <c r="E29" s="117">
        <v>40.627500000000005</v>
      </c>
      <c r="F29" s="117">
        <v>2.59</v>
      </c>
      <c r="G29" s="117">
        <v>0.21583333333333332</v>
      </c>
      <c r="H29" s="117">
        <v>7.6666666666666661E-2</v>
      </c>
      <c r="I29" s="117">
        <v>0.30833333333333335</v>
      </c>
      <c r="J29" s="138">
        <v>4.4999999999999991E-2</v>
      </c>
      <c r="K29" s="116">
        <f t="shared" si="0"/>
        <v>95.849453072439644</v>
      </c>
      <c r="L29" s="117">
        <f t="shared" si="1"/>
        <v>2.2807042656742058</v>
      </c>
      <c r="M29" s="118">
        <f t="shared" si="2"/>
        <v>0.8589675359233635</v>
      </c>
      <c r="N29" s="165">
        <v>10.52</v>
      </c>
    </row>
    <row r="30" spans="1:14" ht="21" customHeight="1" x14ac:dyDescent="0.25">
      <c r="A30" s="158">
        <v>28</v>
      </c>
      <c r="B30" s="116">
        <v>13.201666666666666</v>
      </c>
      <c r="C30" s="117">
        <v>2.76</v>
      </c>
      <c r="D30" s="117">
        <v>3.2274999999999991</v>
      </c>
      <c r="E30" s="117">
        <v>40.563333333333333</v>
      </c>
      <c r="F30" s="117">
        <v>2.625833333333333</v>
      </c>
      <c r="G30" s="117">
        <v>0.20833333333333334</v>
      </c>
      <c r="H30" s="117">
        <v>7.3333333333333348E-2</v>
      </c>
      <c r="I30" s="117">
        <v>0.30249999999999999</v>
      </c>
      <c r="J30" s="138">
        <v>4.0833333333333326E-2</v>
      </c>
      <c r="K30" s="116">
        <f>IF(B30="","",100*E30/(2.8*B30+1.18*C30+0.65*D30))</f>
        <v>95.850577385714686</v>
      </c>
      <c r="L30" s="117">
        <f>IF(B30="","",B30/(C30+D30))</f>
        <v>2.204871259568546</v>
      </c>
      <c r="M30" s="118">
        <f>IF(C30="","",C30/D30)</f>
        <v>0.85515104570100708</v>
      </c>
      <c r="N30" s="165">
        <v>11.5</v>
      </c>
    </row>
    <row r="31" spans="1:14" ht="21" customHeight="1" x14ac:dyDescent="0.25">
      <c r="A31" s="135">
        <v>29</v>
      </c>
      <c r="B31" s="116">
        <v>13.2675</v>
      </c>
      <c r="C31" s="117">
        <v>2.7358333333333338</v>
      </c>
      <c r="D31" s="117">
        <v>3.145</v>
      </c>
      <c r="E31" s="117">
        <v>40.458333333333336</v>
      </c>
      <c r="F31" s="117">
        <v>2.5300000000000002</v>
      </c>
      <c r="G31" s="117">
        <v>0.18499999999999997</v>
      </c>
      <c r="H31" s="117">
        <v>7.4166666666666659E-2</v>
      </c>
      <c r="I31" s="117">
        <v>0.28166666666666673</v>
      </c>
      <c r="J31" s="138">
        <v>4.1666666666666664E-2</v>
      </c>
      <c r="K31" s="116">
        <f>IF(B31="","",100*E31/(2.8*B31+1.18*C31+0.65*D31))</f>
        <v>95.372161622320732</v>
      </c>
      <c r="L31" s="117">
        <f>IF(B31="","",B31/(C31+D31))</f>
        <v>2.256057814935525</v>
      </c>
      <c r="M31" s="118">
        <f>IF(C31="","",C31/D31)</f>
        <v>0.86989931107578178</v>
      </c>
      <c r="N31" s="165">
        <v>11.44</v>
      </c>
    </row>
    <row r="32" spans="1:14" ht="21" customHeight="1" thickBot="1" x14ac:dyDescent="0.3">
      <c r="A32" s="135">
        <v>30</v>
      </c>
      <c r="B32" s="116">
        <v>13.298333333333332</v>
      </c>
      <c r="C32" s="117">
        <v>2.6591666666666671</v>
      </c>
      <c r="D32" s="117">
        <v>3.1058333333333334</v>
      </c>
      <c r="E32" s="117">
        <v>40.510000000000005</v>
      </c>
      <c r="F32" s="117">
        <v>2.4883333333333328</v>
      </c>
      <c r="G32" s="117">
        <v>0.1825</v>
      </c>
      <c r="H32" s="117">
        <v>7.7499999999999999E-2</v>
      </c>
      <c r="I32" s="117">
        <v>0.27499999999999997</v>
      </c>
      <c r="J32" s="138">
        <v>4.0833333333333326E-2</v>
      </c>
      <c r="K32" s="116">
        <f>IF(B32="","",100*E32/(2.8*B32+1.18*C32+0.65*D32))</f>
        <v>95.560614605802655</v>
      </c>
      <c r="L32" s="117">
        <f>IF(B32="","",B32/(C32+D32))</f>
        <v>2.3067360508817574</v>
      </c>
      <c r="M32" s="118">
        <f>IF(C32="","",C32/D32)</f>
        <v>0.8561845988730884</v>
      </c>
      <c r="N32" s="165">
        <v>11.48</v>
      </c>
    </row>
    <row r="33" spans="1:14" ht="21" customHeight="1" thickTop="1" x14ac:dyDescent="0.25">
      <c r="A33" s="171" t="s">
        <v>53</v>
      </c>
      <c r="B33" s="145">
        <f t="shared" ref="B33:N33" si="3">IF(SUM(B2:B32)&gt;0,AVERAGE(B2:B32),"")</f>
        <v>13.330481671554249</v>
      </c>
      <c r="C33" s="143">
        <f t="shared" si="3"/>
        <v>2.6638343108504396</v>
      </c>
      <c r="D33" s="143">
        <f t="shared" si="3"/>
        <v>3.1184323069403712</v>
      </c>
      <c r="E33" s="143">
        <f t="shared" si="3"/>
        <v>40.671176686217002</v>
      </c>
      <c r="F33" s="143">
        <f t="shared" si="3"/>
        <v>2.6584066471163244</v>
      </c>
      <c r="G33" s="143">
        <f t="shared" si="3"/>
        <v>0.18969208211143695</v>
      </c>
      <c r="H33" s="143">
        <f t="shared" si="3"/>
        <v>7.0518572825024467E-2</v>
      </c>
      <c r="I33" s="143">
        <f t="shared" si="3"/>
        <v>0.28906915933528837</v>
      </c>
      <c r="J33" s="144">
        <f t="shared" si="3"/>
        <v>5.0994623655913979E-2</v>
      </c>
      <c r="K33" s="145">
        <f t="shared" si="3"/>
        <v>95.707081587800403</v>
      </c>
      <c r="L33" s="143">
        <f t="shared" si="3"/>
        <v>2.3062482072277817</v>
      </c>
      <c r="M33" s="143">
        <f t="shared" si="3"/>
        <v>0.85456980693423579</v>
      </c>
      <c r="N33" s="146">
        <f t="shared" si="3"/>
        <v>10.435161290322579</v>
      </c>
    </row>
    <row r="34" spans="1:14" ht="21" customHeight="1" x14ac:dyDescent="0.25">
      <c r="A34" s="172" t="s">
        <v>54</v>
      </c>
      <c r="B34" s="150">
        <f t="shared" ref="B34:N34" si="4">IF(COUNT(B2:B32)&gt;1,STDEV(B2:B32),"")</f>
        <v>5.3465015558186543E-2</v>
      </c>
      <c r="C34" s="148">
        <f t="shared" si="4"/>
        <v>6.4113207661332119E-2</v>
      </c>
      <c r="D34" s="148">
        <f t="shared" si="4"/>
        <v>7.2638050725011463E-2</v>
      </c>
      <c r="E34" s="148">
        <f t="shared" si="4"/>
        <v>9.5027626220638442E-2</v>
      </c>
      <c r="F34" s="148">
        <f t="shared" si="4"/>
        <v>0.10121774519371296</v>
      </c>
      <c r="G34" s="148">
        <f t="shared" si="4"/>
        <v>2.4760244093899569E-2</v>
      </c>
      <c r="H34" s="148">
        <f t="shared" si="4"/>
        <v>7.2623547240763201E-3</v>
      </c>
      <c r="I34" s="148">
        <f t="shared" si="4"/>
        <v>1.7294990828757829E-2</v>
      </c>
      <c r="J34" s="149">
        <f t="shared" si="4"/>
        <v>4.4526011620985802E-2</v>
      </c>
      <c r="K34" s="150">
        <f t="shared" si="4"/>
        <v>0.27810393020245411</v>
      </c>
      <c r="L34" s="148">
        <f t="shared" si="4"/>
        <v>4.8213574488399587E-2</v>
      </c>
      <c r="M34" s="148">
        <f t="shared" si="4"/>
        <v>2.5284589316350935E-2</v>
      </c>
      <c r="N34" s="151">
        <f t="shared" si="4"/>
        <v>0.62252641693742305</v>
      </c>
    </row>
    <row r="35" spans="1:14" ht="21" customHeight="1" x14ac:dyDescent="0.25">
      <c r="A35" s="172" t="s">
        <v>55</v>
      </c>
      <c r="B35" s="150">
        <f t="shared" ref="B35:N35" si="5">IF(B33="","",MAX(B2:B32))</f>
        <v>13.413333333333334</v>
      </c>
      <c r="C35" s="148">
        <f t="shared" si="5"/>
        <v>2.813333333333333</v>
      </c>
      <c r="D35" s="148">
        <f t="shared" si="5"/>
        <v>3.3341666666666665</v>
      </c>
      <c r="E35" s="148">
        <f t="shared" si="5"/>
        <v>40.835833333333319</v>
      </c>
      <c r="F35" s="148">
        <f t="shared" si="5"/>
        <v>2.8358333333333334</v>
      </c>
      <c r="G35" s="148">
        <f t="shared" si="5"/>
        <v>0.23</v>
      </c>
      <c r="H35" s="148">
        <f t="shared" si="5"/>
        <v>9.2249999999999999E-2</v>
      </c>
      <c r="I35" s="148">
        <f t="shared" si="5"/>
        <v>0.31424999999999997</v>
      </c>
      <c r="J35" s="149">
        <f t="shared" si="5"/>
        <v>0.29000000000000004</v>
      </c>
      <c r="K35" s="150">
        <f t="shared" si="5"/>
        <v>96.438545740658739</v>
      </c>
      <c r="L35" s="148">
        <f t="shared" si="5"/>
        <v>2.3847638847638848</v>
      </c>
      <c r="M35" s="148">
        <f t="shared" si="5"/>
        <v>0.90050680181381682</v>
      </c>
      <c r="N35" s="151">
        <f t="shared" si="5"/>
        <v>11.53</v>
      </c>
    </row>
    <row r="36" spans="1:14" ht="21" customHeight="1" thickBot="1" x14ac:dyDescent="0.3">
      <c r="A36" s="173" t="s">
        <v>56</v>
      </c>
      <c r="B36" s="155">
        <f t="shared" ref="B36:N36" si="6">IF(B33="","",MIN(B2:B32))</f>
        <v>13.201666666666666</v>
      </c>
      <c r="C36" s="153">
        <f t="shared" si="6"/>
        <v>2.5591666666666666</v>
      </c>
      <c r="D36" s="153">
        <f t="shared" si="6"/>
        <v>3.0370833333333334</v>
      </c>
      <c r="E36" s="153">
        <f t="shared" si="6"/>
        <v>40.458333333333336</v>
      </c>
      <c r="F36" s="153">
        <f t="shared" si="6"/>
        <v>2.4883333333333328</v>
      </c>
      <c r="G36" s="153">
        <f t="shared" si="6"/>
        <v>0.14083333333333337</v>
      </c>
      <c r="H36" s="153">
        <f t="shared" si="6"/>
        <v>5.7500000000000016E-2</v>
      </c>
      <c r="I36" s="153">
        <f t="shared" si="6"/>
        <v>0.25416666666666665</v>
      </c>
      <c r="J36" s="154">
        <f t="shared" si="6"/>
        <v>3.9999999999999994E-2</v>
      </c>
      <c r="K36" s="155">
        <f t="shared" si="6"/>
        <v>95.359324267268164</v>
      </c>
      <c r="L36" s="153">
        <f t="shared" si="6"/>
        <v>2.204871259568546</v>
      </c>
      <c r="M36" s="153">
        <f t="shared" si="6"/>
        <v>0.79880029992501866</v>
      </c>
      <c r="N36" s="156">
        <f t="shared" si="6"/>
        <v>9.34</v>
      </c>
    </row>
  </sheetData>
  <printOptions horizontalCentered="1"/>
  <pageMargins left="0" right="0" top="0.5" bottom="0.5" header="0.3" footer="0.3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8"/>
  <sheetViews>
    <sheetView tabSelected="1" topLeftCell="A4" workbookViewId="0">
      <pane xSplit="1" ySplit="2" topLeftCell="B6" activePane="bottomRight" state="frozen"/>
      <selection activeCell="A4" sqref="A4"/>
      <selection pane="topRight" activeCell="B4" sqref="B4"/>
      <selection pane="bottomLeft" activeCell="A8" sqref="A8"/>
      <selection pane="bottomRight" activeCell="A4" sqref="A4:A5"/>
    </sheetView>
  </sheetViews>
  <sheetFormatPr defaultColWidth="9.109375" defaultRowHeight="13.2" x14ac:dyDescent="0.25"/>
  <cols>
    <col min="1" max="8" width="8.6640625" style="174" customWidth="1"/>
    <col min="9" max="9" width="9.5546875" style="174" customWidth="1"/>
    <col min="10" max="11" width="7.6640625" style="174" customWidth="1"/>
    <col min="12" max="19" width="8.6640625" style="174" customWidth="1"/>
    <col min="20" max="21" width="10.6640625" style="174" customWidth="1"/>
    <col min="22" max="22" width="11.33203125" style="174" hidden="1" customWidth="1"/>
    <col min="23" max="23" width="8.88671875" style="174" hidden="1" customWidth="1"/>
    <col min="24" max="24" width="6.6640625" style="174" hidden="1" customWidth="1"/>
    <col min="25" max="25" width="9.5546875" style="174" hidden="1" customWidth="1"/>
    <col min="26" max="26" width="9.109375" style="174" hidden="1" customWidth="1"/>
    <col min="27" max="30" width="8.6640625" style="174" hidden="1" customWidth="1"/>
    <col min="31" max="31" width="9.6640625" style="174" hidden="1" customWidth="1"/>
    <col min="32" max="32" width="23.44140625" style="174" hidden="1" customWidth="1"/>
    <col min="33" max="33" width="11" style="174" customWidth="1"/>
    <col min="34" max="16384" width="9.109375" style="174"/>
  </cols>
  <sheetData>
    <row r="1" spans="1:32" ht="18.75" customHeight="1" x14ac:dyDescent="0.25">
      <c r="R1" s="175"/>
      <c r="S1" s="175"/>
      <c r="T1" s="234" t="s">
        <v>61</v>
      </c>
      <c r="U1" s="234"/>
    </row>
    <row r="2" spans="1:32" ht="24.6" x14ac:dyDescent="0.4">
      <c r="A2" s="235"/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</row>
    <row r="3" spans="1:32" ht="18" x14ac:dyDescent="0.25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</row>
    <row r="4" spans="1:32" ht="30.75" customHeight="1" x14ac:dyDescent="0.25">
      <c r="A4" s="241" t="s">
        <v>41</v>
      </c>
      <c r="B4" s="243" t="s">
        <v>42</v>
      </c>
      <c r="C4" s="243" t="s">
        <v>43</v>
      </c>
      <c r="D4" s="243" t="s">
        <v>0</v>
      </c>
      <c r="E4" s="243" t="s">
        <v>1</v>
      </c>
      <c r="F4" s="243" t="s">
        <v>44</v>
      </c>
      <c r="G4" s="243" t="s">
        <v>46</v>
      </c>
      <c r="H4" s="243" t="s">
        <v>45</v>
      </c>
      <c r="I4" s="245" t="s">
        <v>46</v>
      </c>
      <c r="J4" s="247" t="s">
        <v>62</v>
      </c>
      <c r="K4" s="249" t="s">
        <v>66</v>
      </c>
      <c r="L4" s="251" t="s">
        <v>2</v>
      </c>
      <c r="M4" s="243" t="s">
        <v>67</v>
      </c>
      <c r="N4" s="254" t="s">
        <v>68</v>
      </c>
      <c r="O4" s="256" t="s">
        <v>69</v>
      </c>
      <c r="P4" s="258" t="s">
        <v>70</v>
      </c>
      <c r="Q4" s="243" t="s">
        <v>71</v>
      </c>
      <c r="R4" s="254" t="s">
        <v>72</v>
      </c>
      <c r="S4" s="260" t="s">
        <v>64</v>
      </c>
      <c r="T4" s="254" t="s">
        <v>32</v>
      </c>
      <c r="U4" s="237" t="s">
        <v>65</v>
      </c>
      <c r="V4" s="262" t="s">
        <v>21</v>
      </c>
      <c r="W4" s="264" t="s">
        <v>23</v>
      </c>
      <c r="X4" s="264" t="s">
        <v>24</v>
      </c>
      <c r="Y4" s="266" t="s">
        <v>8</v>
      </c>
      <c r="Z4" s="266"/>
      <c r="AA4" s="264" t="s">
        <v>9</v>
      </c>
      <c r="AB4" s="264"/>
      <c r="AC4" s="267" t="s">
        <v>25</v>
      </c>
      <c r="AD4" s="267"/>
      <c r="AE4" s="267"/>
      <c r="AF4" s="239"/>
    </row>
    <row r="5" spans="1:32" ht="46.5" customHeight="1" thickBot="1" x14ac:dyDescent="0.3">
      <c r="A5" s="242"/>
      <c r="B5" s="244"/>
      <c r="C5" s="244"/>
      <c r="D5" s="244"/>
      <c r="E5" s="244"/>
      <c r="F5" s="244" t="s">
        <v>44</v>
      </c>
      <c r="G5" s="244"/>
      <c r="H5" s="244"/>
      <c r="I5" s="246"/>
      <c r="J5" s="248"/>
      <c r="K5" s="250"/>
      <c r="L5" s="252"/>
      <c r="M5" s="253"/>
      <c r="N5" s="255"/>
      <c r="O5" s="257"/>
      <c r="P5" s="259"/>
      <c r="Q5" s="253"/>
      <c r="R5" s="255"/>
      <c r="S5" s="261"/>
      <c r="T5" s="255"/>
      <c r="U5" s="238"/>
      <c r="V5" s="263"/>
      <c r="W5" s="265"/>
      <c r="X5" s="265"/>
      <c r="Y5" s="178" t="s">
        <v>10</v>
      </c>
      <c r="Z5" s="178" t="s">
        <v>11</v>
      </c>
      <c r="AA5" s="179" t="s">
        <v>12</v>
      </c>
      <c r="AB5" s="179" t="s">
        <v>13</v>
      </c>
      <c r="AC5" s="180" t="s">
        <v>14</v>
      </c>
      <c r="AD5" s="180" t="s">
        <v>15</v>
      </c>
      <c r="AE5" s="180" t="s">
        <v>16</v>
      </c>
      <c r="AF5" s="240"/>
    </row>
    <row r="6" spans="1:32" ht="20.100000000000001" customHeight="1" thickTop="1" x14ac:dyDescent="0.25">
      <c r="A6" s="116">
        <v>21.432500000000001</v>
      </c>
      <c r="B6" s="117">
        <v>4.3508333333333331</v>
      </c>
      <c r="C6" s="117">
        <v>4.8416666666666659</v>
      </c>
      <c r="D6" s="117">
        <v>63.201666666666675</v>
      </c>
      <c r="E6" s="117">
        <v>4.4191666666666674</v>
      </c>
      <c r="F6" s="117">
        <v>0.86583333333333323</v>
      </c>
      <c r="G6" s="117">
        <v>7.4166666666666672E-2</v>
      </c>
      <c r="H6" s="117">
        <v>0.46083333333333326</v>
      </c>
      <c r="I6" s="148">
        <f>IF(G6=0,"",(0.658*H6+G6))</f>
        <v>0.37739499999999998</v>
      </c>
      <c r="J6" s="181">
        <v>0.02</v>
      </c>
      <c r="K6" s="118">
        <v>1.68</v>
      </c>
      <c r="L6" s="131">
        <f>IF(A6=0,"",(100*(D6-0.7*F6))/(2.8*A6+1.18*B6+0.65*C6))</f>
        <v>91.658645562539746</v>
      </c>
      <c r="M6" s="148">
        <f>+IF(A6=0,"",A6/(B6+C6))</f>
        <v>2.3315202610824044</v>
      </c>
      <c r="N6" s="149">
        <f>IF(B6=0,"",B6/C6)</f>
        <v>0.89862306368330469</v>
      </c>
      <c r="O6" s="182">
        <f>IF(A6=0,"",4.07*(D6)-7.6*A6-6.72*B6-1.43*C6-2.85*F6)</f>
        <v>55.714975000000031</v>
      </c>
      <c r="P6" s="117">
        <f>IF(A6=0,"",2.87*A6-0.754*O6)</f>
        <v>19.50218384999998</v>
      </c>
      <c r="Q6" s="117">
        <f>IF(B6=0,"",2.65*B6-1.69*C6)</f>
        <v>3.347291666666667</v>
      </c>
      <c r="R6" s="118">
        <f>IF(C6=0,"",3.04*C6)</f>
        <v>14.718666666666664</v>
      </c>
      <c r="S6" s="115">
        <f t="shared" ref="S6:S28" si="0">R6+2*Q6</f>
        <v>21.413249999999998</v>
      </c>
      <c r="T6" s="115">
        <f>IF(Q6="","",(1.13*Q6)+(1.35*R6)+E6+I6)</f>
        <v>28.449201249999994</v>
      </c>
      <c r="U6" s="183">
        <v>1281</v>
      </c>
      <c r="V6" s="184"/>
      <c r="W6" s="185"/>
      <c r="X6" s="186"/>
      <c r="Y6" s="186"/>
      <c r="Z6" s="187"/>
      <c r="AA6" s="188"/>
      <c r="AB6" s="188"/>
      <c r="AC6" s="189"/>
      <c r="AD6" s="189"/>
      <c r="AE6" s="189"/>
      <c r="AF6" s="190"/>
    </row>
    <row r="7" spans="1:32" ht="20.100000000000001" customHeight="1" x14ac:dyDescent="0.25">
      <c r="A7" s="116">
        <v>21.366666666666664</v>
      </c>
      <c r="B7" s="117">
        <v>4.3366666666666669</v>
      </c>
      <c r="C7" s="117">
        <v>4.8466666666666667</v>
      </c>
      <c r="D7" s="117">
        <v>63.108333333333341</v>
      </c>
      <c r="E7" s="117">
        <v>4.32</v>
      </c>
      <c r="F7" s="117">
        <v>0.93583333333333341</v>
      </c>
      <c r="G7" s="117">
        <v>7.4166666666666672E-2</v>
      </c>
      <c r="H7" s="117">
        <v>0.47750000000000004</v>
      </c>
      <c r="I7" s="148">
        <f>IF(G7=0,"",(0.658*H7+G7))</f>
        <v>0.38836166666666672</v>
      </c>
      <c r="J7" s="181">
        <v>0.02</v>
      </c>
      <c r="K7" s="118">
        <v>1.7</v>
      </c>
      <c r="L7" s="116">
        <f>IF(A7=0,"",(100*(D7-0.7*F7))/(2.8*A7+1.18*B7+0.65*C7))</f>
        <v>91.71587133131132</v>
      </c>
      <c r="M7" s="148">
        <f>+IF(A7=0,"",A7/(B7+C7))</f>
        <v>2.3266787658802173</v>
      </c>
      <c r="N7" s="149">
        <f>IF(B7=0,"",B7/C7)</f>
        <v>0.89477303988995882</v>
      </c>
      <c r="O7" s="182">
        <f>IF(A7=0,"",4.07*(D7)-7.6*A7-6.72*B7-1.43*C7-2.85*F7)</f>
        <v>55.723991666666734</v>
      </c>
      <c r="P7" s="117">
        <f>IF(A7=0,"",2.87*A7-0.754*O7)</f>
        <v>19.306443616666606</v>
      </c>
      <c r="Q7" s="117">
        <f>IF(B7=0,"",2.65*B7-1.69*C7)</f>
        <v>3.3013000000000012</v>
      </c>
      <c r="R7" s="118">
        <f>IF(C7=0,"",3.04*C7)</f>
        <v>14.733866666666668</v>
      </c>
      <c r="S7" s="115">
        <f t="shared" si="0"/>
        <v>21.33646666666667</v>
      </c>
      <c r="T7" s="115">
        <f>IF(Q7="","",(1.13*Q7)+(1.35*R7)+E7+I7)</f>
        <v>28.32955066666667</v>
      </c>
      <c r="U7" s="191">
        <v>1249</v>
      </c>
      <c r="V7" s="184"/>
      <c r="W7" s="185"/>
      <c r="X7" s="186"/>
      <c r="Y7" s="186"/>
      <c r="Z7" s="187"/>
      <c r="AA7" s="188"/>
      <c r="AB7" s="188"/>
      <c r="AC7" s="189"/>
      <c r="AD7" s="189"/>
      <c r="AE7" s="192"/>
      <c r="AF7" s="193"/>
    </row>
    <row r="8" spans="1:32" ht="20.100000000000001" customHeight="1" x14ac:dyDescent="0.25">
      <c r="A8" s="116">
        <v>21.408333333333331</v>
      </c>
      <c r="B8" s="117">
        <v>4.267500000000001</v>
      </c>
      <c r="C8" s="117">
        <v>4.7833333333333341</v>
      </c>
      <c r="D8" s="117">
        <v>63.102499999999992</v>
      </c>
      <c r="E8" s="117">
        <v>4.309166666666667</v>
      </c>
      <c r="F8" s="117">
        <v>0.91166666666666663</v>
      </c>
      <c r="G8" s="117">
        <v>7.7499999999999999E-2</v>
      </c>
      <c r="H8" s="117">
        <v>0.47416666666666663</v>
      </c>
      <c r="I8" s="148">
        <f>IF(G8=0,"",(0.658*H8+G8))</f>
        <v>0.38950166666666669</v>
      </c>
      <c r="J8" s="181">
        <v>0.02</v>
      </c>
      <c r="K8" s="118">
        <v>1.81</v>
      </c>
      <c r="L8" s="116">
        <f>IF(A8=0,"",(100*(D8-0.7*F8))/(2.8*A8+1.18*B8+0.65*C8))</f>
        <v>91.740388501278616</v>
      </c>
      <c r="M8" s="148">
        <f>+IF(A8=0,"",A8/(B8+C8))</f>
        <v>2.3653438909860962</v>
      </c>
      <c r="N8" s="149">
        <f>IF(B8=0,"",B8/C8)</f>
        <v>0.89216027874564463</v>
      </c>
      <c r="O8" s="182">
        <f>IF(A8=0,"",4.07*(D8)-7.6*A8-6.72*B8-1.43*C8-2.85*F8)</f>
        <v>56.007825000000011</v>
      </c>
      <c r="P8" s="117">
        <f>IF(A8=0,"",2.87*A8-0.754*O8)</f>
        <v>19.212016616666652</v>
      </c>
      <c r="Q8" s="117">
        <f>IF(B8=0,"",2.65*B8-1.69*C8)</f>
        <v>3.2250416666666677</v>
      </c>
      <c r="R8" s="118">
        <f>IF(C8=0,"",3.04*C8)</f>
        <v>14.541333333333336</v>
      </c>
      <c r="S8" s="115">
        <f t="shared" si="0"/>
        <v>20.991416666666673</v>
      </c>
      <c r="T8" s="115">
        <f>IF(Q8="","",(1.13*Q8)+(1.35*R8)+E8+I8)</f>
        <v>27.973765416666673</v>
      </c>
      <c r="U8" s="191">
        <v>1217</v>
      </c>
      <c r="V8" s="194" t="s">
        <v>34</v>
      </c>
      <c r="W8" s="195"/>
      <c r="X8" s="196"/>
      <c r="Y8" s="196"/>
      <c r="Z8" s="197"/>
      <c r="AA8" s="198"/>
      <c r="AB8" s="198"/>
      <c r="AC8" s="189"/>
      <c r="AD8" s="189"/>
      <c r="AE8" s="199"/>
      <c r="AF8" s="193"/>
    </row>
    <row r="9" spans="1:32" ht="20.100000000000001" customHeight="1" x14ac:dyDescent="0.25">
      <c r="A9" s="116">
        <v>21.426666666666666</v>
      </c>
      <c r="B9" s="117">
        <v>4.2874999999999996</v>
      </c>
      <c r="C9" s="117">
        <v>4.7216666666666667</v>
      </c>
      <c r="D9" s="117">
        <v>63.18666666666666</v>
      </c>
      <c r="E9" s="117">
        <v>4.3408333333333333</v>
      </c>
      <c r="F9" s="117">
        <v>0.93500000000000016</v>
      </c>
      <c r="G9" s="117">
        <v>7.6666666666666661E-2</v>
      </c>
      <c r="H9" s="117">
        <v>0.47333333333333338</v>
      </c>
      <c r="I9" s="148">
        <f>IF(G9=0,"",(0.658*H9+G9))</f>
        <v>0.38812000000000002</v>
      </c>
      <c r="J9" s="181">
        <v>0.02</v>
      </c>
      <c r="K9" s="118">
        <v>1.91</v>
      </c>
      <c r="L9" s="116">
        <f>IF(A9=0,"",(100*(D9-0.7*F9))/(2.8*A9+1.18*B9+0.65*C9))</f>
        <v>91.793031232721191</v>
      </c>
      <c r="M9" s="148">
        <f>+IF(A9=0,"",A9/(B9+C9))</f>
        <v>2.3783183794283604</v>
      </c>
      <c r="N9" s="149">
        <f>IF(B9=0,"",B9/C9)</f>
        <v>0.90804800564772314</v>
      </c>
      <c r="O9" s="182">
        <f>IF(A9=0,"",4.07*(D9)-7.6*A9-6.72*B9-1.43*C9-2.85*F9)</f>
        <v>56.098333333333365</v>
      </c>
      <c r="P9" s="117">
        <f>IF(A9=0,"",2.87*A9-0.754*O9)</f>
        <v>19.19638999999998</v>
      </c>
      <c r="Q9" s="117">
        <f>IF(B9=0,"",2.65*B9-1.69*C9)</f>
        <v>3.3822583333333327</v>
      </c>
      <c r="R9" s="118">
        <f>IF(C9=0,"",3.04*C9)</f>
        <v>14.353866666666667</v>
      </c>
      <c r="S9" s="115">
        <f t="shared" si="0"/>
        <v>21.118383333333334</v>
      </c>
      <c r="T9" s="115">
        <f>IF(Q9="","",(1.13*Q9)+(1.35*R9)+E9+I9)</f>
        <v>27.92862525</v>
      </c>
      <c r="U9" s="191">
        <v>1190</v>
      </c>
      <c r="V9" s="194"/>
      <c r="W9" s="195"/>
      <c r="X9" s="196"/>
      <c r="Y9" s="196"/>
      <c r="Z9" s="197"/>
      <c r="AA9" s="198"/>
      <c r="AB9" s="198"/>
      <c r="AC9" s="189"/>
      <c r="AD9" s="189"/>
      <c r="AE9" s="200"/>
      <c r="AF9" s="193"/>
    </row>
    <row r="10" spans="1:32" ht="20.100000000000001" customHeight="1" x14ac:dyDescent="0.25">
      <c r="A10" s="116">
        <v>21.575833333333332</v>
      </c>
      <c r="B10" s="117">
        <v>4.2733333333333334</v>
      </c>
      <c r="C10" s="117">
        <v>4.6058333333333339</v>
      </c>
      <c r="D10" s="117">
        <v>63.24</v>
      </c>
      <c r="E10" s="117">
        <v>4.3099999999999996</v>
      </c>
      <c r="F10" s="117">
        <v>0.87083333333333346</v>
      </c>
      <c r="G10" s="117">
        <v>7.6666666666666661E-2</v>
      </c>
      <c r="H10" s="117">
        <v>0.44583333333333336</v>
      </c>
      <c r="I10" s="148">
        <f t="shared" ref="I10:I36" si="1">IF(G10=0,"",(0.658*H10+G10))</f>
        <v>0.37002500000000005</v>
      </c>
      <c r="J10" s="181">
        <v>0.02</v>
      </c>
      <c r="K10" s="118">
        <v>1.75</v>
      </c>
      <c r="L10" s="116">
        <f>IF(A10=0,"",(100*(D10-0.7*F10))/(2.8*A10+1.18*B10+0.65*C10))</f>
        <v>91.499845565514505</v>
      </c>
      <c r="M10" s="148">
        <f>+IF(A10=0,"",A10/(B10+C10))</f>
        <v>2.4299389957766304</v>
      </c>
      <c r="N10" s="149">
        <f>IF(B10=0,"",B10/C10)</f>
        <v>0.92780893794101671</v>
      </c>
      <c r="O10" s="182">
        <f>IF(A10=0,"",4.07*(D10)-7.6*A10-6.72*B10-1.43*C10-2.85*F10)</f>
        <v>55.625450000000058</v>
      </c>
      <c r="P10" s="117">
        <f>IF(A10=0,"",2.87*A10-0.754*O10)</f>
        <v>19.981052366666617</v>
      </c>
      <c r="Q10" s="117">
        <f>IF(B10=0,"",2.65*B10-1.69*C10)</f>
        <v>3.5404749999999998</v>
      </c>
      <c r="R10" s="118">
        <f>IF(C10=0,"",3.04*C10)</f>
        <v>14.001733333333336</v>
      </c>
      <c r="S10" s="115">
        <f t="shared" si="0"/>
        <v>21.082683333333335</v>
      </c>
      <c r="T10" s="115">
        <f>IF(Q10="","",(1.13*Q10)+(1.35*R10)+E10+I10)</f>
        <v>27.583101750000004</v>
      </c>
      <c r="U10" s="191">
        <v>1196</v>
      </c>
      <c r="V10" s="194"/>
      <c r="W10" s="185"/>
      <c r="X10" s="196"/>
      <c r="Y10" s="196"/>
      <c r="Z10" s="197"/>
      <c r="AA10" s="198"/>
      <c r="AB10" s="198"/>
      <c r="AC10" s="189"/>
      <c r="AD10" s="189"/>
      <c r="AE10" s="200"/>
      <c r="AF10" s="193"/>
    </row>
    <row r="11" spans="1:32" ht="20.100000000000001" customHeight="1" x14ac:dyDescent="0.25">
      <c r="A11" s="116">
        <v>21.481666666666669</v>
      </c>
      <c r="B11" s="117">
        <v>4.3683333333333332</v>
      </c>
      <c r="C11" s="117">
        <v>4.6733333333333329</v>
      </c>
      <c r="D11" s="117">
        <v>63.178333333333335</v>
      </c>
      <c r="E11" s="117">
        <v>4.2658333333333331</v>
      </c>
      <c r="F11" s="117">
        <v>0.87750000000000006</v>
      </c>
      <c r="G11" s="117">
        <v>7.4166666666666672E-2</v>
      </c>
      <c r="H11" s="117">
        <v>0.43083333333333335</v>
      </c>
      <c r="I11" s="148">
        <f t="shared" si="1"/>
        <v>0.357655</v>
      </c>
      <c r="J11" s="181">
        <v>0.02</v>
      </c>
      <c r="K11" s="118">
        <v>1.68</v>
      </c>
      <c r="L11" s="116">
        <f>IF(A11=0,"",(100*(D11-0.7*F11))/(2.8*A11+1.18*B11+0.65*C11))</f>
        <v>91.546968655696503</v>
      </c>
      <c r="M11" s="148">
        <f>+IF(A11=0,"",A11/(B11+C11))</f>
        <v>2.3758525345622123</v>
      </c>
      <c r="N11" s="149">
        <f>IF(B11=0,"",B11/C11)</f>
        <v>0.93473609129814561</v>
      </c>
      <c r="O11" s="182">
        <f>IF(A11=0,"",4.07*(D11)-7.6*A11-6.72*B11-1.43*C11-2.85*F11)</f>
        <v>55.336208333333353</v>
      </c>
      <c r="P11" s="117">
        <f>IF(A11=0,"",2.87*A11-0.754*O11)</f>
        <v>19.928882249999994</v>
      </c>
      <c r="Q11" s="117">
        <f>IF(B11=0,"",2.65*B11-1.69*C11)</f>
        <v>3.6781500000000005</v>
      </c>
      <c r="R11" s="118">
        <f>IF(C11=0,"",3.04*C11)</f>
        <v>14.206933333333332</v>
      </c>
      <c r="S11" s="115">
        <f t="shared" si="0"/>
        <v>21.563233333333333</v>
      </c>
      <c r="T11" s="115">
        <f>IF(Q11="","",(1.13*Q11)+(1.35*R11)+E11+I11)</f>
        <v>27.959157833333332</v>
      </c>
      <c r="U11" s="191">
        <v>1249</v>
      </c>
      <c r="V11" s="184"/>
      <c r="W11" s="198"/>
      <c r="X11" s="196"/>
      <c r="Y11" s="196"/>
      <c r="Z11" s="197"/>
      <c r="AA11" s="198"/>
      <c r="AB11" s="198"/>
      <c r="AC11" s="189"/>
      <c r="AD11" s="189"/>
      <c r="AE11" s="199"/>
      <c r="AF11" s="193"/>
    </row>
    <row r="12" spans="1:32" ht="20.100000000000001" customHeight="1" x14ac:dyDescent="0.25">
      <c r="A12" s="116">
        <v>21.291666666666668</v>
      </c>
      <c r="B12" s="117">
        <v>4.4083333333333323</v>
      </c>
      <c r="C12" s="117">
        <v>4.6550000000000002</v>
      </c>
      <c r="D12" s="117">
        <v>63.331666666666671</v>
      </c>
      <c r="E12" s="117">
        <v>4.2116666666666669</v>
      </c>
      <c r="F12" s="117">
        <v>0.91416666666666657</v>
      </c>
      <c r="G12" s="117">
        <v>0.12000000000000004</v>
      </c>
      <c r="H12" s="117">
        <v>0.4366666666666667</v>
      </c>
      <c r="I12" s="148">
        <f t="shared" si="1"/>
        <v>0.40732666666666678</v>
      </c>
      <c r="J12" s="181">
        <v>0.02</v>
      </c>
      <c r="K12" s="118">
        <v>1.81</v>
      </c>
      <c r="L12" s="116">
        <f>IF(A12=0,"",(100*(D12-0.7*F12))/(2.8*A12+1.18*B12+0.65*C12))</f>
        <v>92.405399131098065</v>
      </c>
      <c r="M12" s="148">
        <f>+IF(A12=0,"",A12/(B12+C12))</f>
        <v>2.3492092681132775</v>
      </c>
      <c r="N12" s="149">
        <f>IF(B12=0,"",B12/C12)</f>
        <v>0.94701038310060837</v>
      </c>
      <c r="O12" s="182">
        <f>IF(A12=0,"",4.07*(D12)-7.6*A12-6.72*B12-1.43*C12-2.85*F12)</f>
        <v>57.057191666666732</v>
      </c>
      <c r="P12" s="117">
        <f>IF(A12=0,"",2.87*A12-0.754*O12)</f>
        <v>18.085960816666628</v>
      </c>
      <c r="Q12" s="117">
        <f>IF(B12=0,"",2.65*B12-1.69*C12)</f>
        <v>3.815133333333331</v>
      </c>
      <c r="R12" s="118">
        <f>IF(C12=0,"",3.04*C12)</f>
        <v>14.151200000000001</v>
      </c>
      <c r="S12" s="115">
        <f t="shared" si="0"/>
        <v>21.781466666666663</v>
      </c>
      <c r="T12" s="115">
        <f>IF(Q12="","",(1.13*Q12)+(1.35*R12)+E12+I12)</f>
        <v>28.034213999999999</v>
      </c>
      <c r="U12" s="191">
        <v>1172</v>
      </c>
      <c r="V12" s="184"/>
      <c r="W12" s="198"/>
      <c r="X12" s="196"/>
      <c r="Y12" s="196"/>
      <c r="Z12" s="197"/>
      <c r="AA12" s="198"/>
      <c r="AB12" s="198"/>
      <c r="AC12" s="189"/>
      <c r="AD12" s="189"/>
      <c r="AE12" s="199"/>
      <c r="AF12" s="193"/>
    </row>
    <row r="13" spans="1:32" ht="20.100000000000001" customHeight="1" x14ac:dyDescent="0.25">
      <c r="A13" s="116">
        <v>21.343333333333334</v>
      </c>
      <c r="B13" s="117">
        <v>4.4799999999999995</v>
      </c>
      <c r="C13" s="117">
        <v>4.6625000000000005</v>
      </c>
      <c r="D13" s="117">
        <v>63.387499999999996</v>
      </c>
      <c r="E13" s="117">
        <v>4.2758333333333338</v>
      </c>
      <c r="F13" s="117">
        <v>0.89166666666666661</v>
      </c>
      <c r="G13" s="117">
        <v>0.13833333333333339</v>
      </c>
      <c r="H13" s="117">
        <v>0.41666666666666674</v>
      </c>
      <c r="I13" s="148">
        <f t="shared" si="1"/>
        <v>0.41250000000000009</v>
      </c>
      <c r="J13" s="181">
        <v>0.02</v>
      </c>
      <c r="K13" s="118">
        <v>1.83</v>
      </c>
      <c r="L13" s="116">
        <f>IF(A13=0,"",(100*(D13-0.7*F13))/(2.8*A13+1.18*B13+0.65*C13))</f>
        <v>92.192783242545389</v>
      </c>
      <c r="M13" s="148">
        <f>+IF(A13=0,"",A13/(B13+C13))</f>
        <v>2.3345182754534681</v>
      </c>
      <c r="N13" s="149">
        <f>IF(B13=0,"",B13/C13)</f>
        <v>0.96085790884718481</v>
      </c>
      <c r="O13" s="182">
        <f>IF(A13=0,"",4.07*(D13)-7.6*A13-6.72*B13-1.43*C13-2.85*F13)</f>
        <v>56.463566666666679</v>
      </c>
      <c r="P13" s="117">
        <f>IF(A13=0,"",2.87*A13-0.754*O13)</f>
        <v>18.681837399999992</v>
      </c>
      <c r="Q13" s="117">
        <f>IF(B13=0,"",2.65*B13-1.69*C13)</f>
        <v>3.9923749999999973</v>
      </c>
      <c r="R13" s="118">
        <f>IF(C13=0,"",3.04*C13)</f>
        <v>14.174000000000001</v>
      </c>
      <c r="S13" s="115">
        <f t="shared" si="0"/>
        <v>22.158749999999998</v>
      </c>
      <c r="T13" s="115">
        <f>IF(Q13="","",(1.13*Q13)+(1.35*R13)+E13+I13)</f>
        <v>28.334617083333335</v>
      </c>
      <c r="U13" s="191">
        <v>1152</v>
      </c>
      <c r="V13" s="194"/>
      <c r="W13" s="185"/>
      <c r="X13" s="186"/>
      <c r="Y13" s="186"/>
      <c r="Z13" s="201"/>
      <c r="AA13" s="188"/>
      <c r="AB13" s="188"/>
      <c r="AC13" s="189"/>
      <c r="AD13" s="192"/>
      <c r="AE13" s="199"/>
      <c r="AF13" s="193"/>
    </row>
    <row r="14" spans="1:32" ht="20.100000000000001" customHeight="1" x14ac:dyDescent="0.25">
      <c r="A14" s="116">
        <v>21.364166666666666</v>
      </c>
      <c r="B14" s="117">
        <v>4.4750000000000005</v>
      </c>
      <c r="C14" s="117">
        <v>4.6316666666666668</v>
      </c>
      <c r="D14" s="117">
        <v>63.094166666666666</v>
      </c>
      <c r="E14" s="117">
        <v>4.4050000000000002</v>
      </c>
      <c r="F14" s="117">
        <v>0.87916666666666687</v>
      </c>
      <c r="G14" s="117">
        <v>0.13166666666666668</v>
      </c>
      <c r="H14" s="117">
        <v>0.41416666666666663</v>
      </c>
      <c r="I14" s="148">
        <f t="shared" si="1"/>
        <v>0.40418833333333337</v>
      </c>
      <c r="J14" s="181">
        <v>0.02</v>
      </c>
      <c r="K14" s="118">
        <v>1.69</v>
      </c>
      <c r="L14" s="116">
        <f>IF(A14=0,"",(100*(D14-0.7*F14))/(2.8*A14+1.18*B14+0.65*C14))</f>
        <v>91.731114398241104</v>
      </c>
      <c r="M14" s="148">
        <f>+IF(A14=0,"",A14/(B14+C14))</f>
        <v>2.3459919472913615</v>
      </c>
      <c r="N14" s="149">
        <f>IF(B14=0,"",B14/C14)</f>
        <v>0.96617488305145749</v>
      </c>
      <c r="O14" s="182">
        <f>IF(A14=0,"",4.07*(D14)-7.6*A14-6.72*B14-1.43*C14-2.85*F14)</f>
        <v>55.224683333333381</v>
      </c>
      <c r="P14" s="117">
        <f>IF(A14=0,"",2.87*A14-0.754*O14)</f>
        <v>19.675747099999967</v>
      </c>
      <c r="Q14" s="117">
        <f>IF(B14=0,"",2.65*B14-1.69*C14)</f>
        <v>4.0312333333333337</v>
      </c>
      <c r="R14" s="118">
        <f>IF(C14=0,"",3.04*C14)</f>
        <v>14.080266666666667</v>
      </c>
      <c r="S14" s="115">
        <f t="shared" si="0"/>
        <v>22.142733333333332</v>
      </c>
      <c r="T14" s="115">
        <f>IF(Q14="","",(1.13*Q14)+(1.35*R14)+E14+I14)</f>
        <v>28.372842000000002</v>
      </c>
      <c r="U14" s="191">
        <v>1178</v>
      </c>
      <c r="V14" s="194"/>
      <c r="W14" s="185"/>
      <c r="X14" s="186"/>
      <c r="Y14" s="186"/>
      <c r="Z14" s="201"/>
      <c r="AA14" s="188"/>
      <c r="AB14" s="188"/>
      <c r="AC14" s="192"/>
      <c r="AD14" s="192"/>
      <c r="AE14" s="199"/>
      <c r="AF14" s="193"/>
    </row>
    <row r="15" spans="1:32" ht="20.100000000000001" customHeight="1" x14ac:dyDescent="0.25">
      <c r="A15" s="116">
        <v>21.382499999999997</v>
      </c>
      <c r="B15" s="117">
        <v>4.4624999999999995</v>
      </c>
      <c r="C15" s="117">
        <v>4.5533333333333337</v>
      </c>
      <c r="D15" s="117">
        <v>63.067500000000003</v>
      </c>
      <c r="E15" s="117">
        <v>4.5158333333333331</v>
      </c>
      <c r="F15" s="117">
        <v>0.9341666666666667</v>
      </c>
      <c r="G15" s="117">
        <v>0.13083333333333333</v>
      </c>
      <c r="H15" s="117">
        <v>0.41666666666666669</v>
      </c>
      <c r="I15" s="148">
        <f t="shared" si="1"/>
        <v>0.40500000000000003</v>
      </c>
      <c r="J15" s="181">
        <v>0.02</v>
      </c>
      <c r="K15" s="118">
        <v>1.69</v>
      </c>
      <c r="L15" s="116">
        <f>IF(A15=0,"",(100*(D15-0.7*F15))/(2.8*A15+1.18*B15+0.65*C15))</f>
        <v>91.654724857034836</v>
      </c>
      <c r="M15" s="148">
        <f>+IF(A15=0,"",A15/(B15+C15))</f>
        <v>2.3716609668176352</v>
      </c>
      <c r="N15" s="149">
        <f>IF(B15=0,"",B15/C15)</f>
        <v>0.98005124450951664</v>
      </c>
      <c r="O15" s="182">
        <f>IF(A15=0,"",4.07*(D15)-7.6*A15-6.72*B15-1.43*C15-2.85*F15)</f>
        <v>55.016083333333377</v>
      </c>
      <c r="P15" s="117">
        <f>IF(A15=0,"",2.87*A15-0.754*O15)</f>
        <v>19.885648166666627</v>
      </c>
      <c r="Q15" s="117">
        <f>IF(B15=0,"",2.65*B15-1.69*C15)</f>
        <v>4.1304916666666651</v>
      </c>
      <c r="R15" s="118">
        <f>IF(C15=0,"",3.04*C15)</f>
        <v>13.842133333333335</v>
      </c>
      <c r="S15" s="115">
        <f t="shared" si="0"/>
        <v>22.103116666666665</v>
      </c>
      <c r="T15" s="115">
        <f>IF(Q15="","",(1.13*Q15)+(1.35*R15)+E15+I15)</f>
        <v>28.275168916666669</v>
      </c>
      <c r="U15" s="191">
        <v>1167</v>
      </c>
      <c r="V15" s="194"/>
      <c r="W15" s="188"/>
      <c r="X15" s="202"/>
      <c r="Y15" s="202"/>
      <c r="Z15" s="201"/>
      <c r="AA15" s="195"/>
      <c r="AB15" s="195"/>
      <c r="AC15" s="192"/>
      <c r="AD15" s="192"/>
      <c r="AE15" s="199"/>
      <c r="AF15" s="193"/>
    </row>
    <row r="16" spans="1:32" ht="20.100000000000001" customHeight="1" x14ac:dyDescent="0.25">
      <c r="A16" s="116">
        <v>21.473333333333333</v>
      </c>
      <c r="B16" s="117">
        <v>4.3675000000000006</v>
      </c>
      <c r="C16" s="117">
        <v>4.5441666666666665</v>
      </c>
      <c r="D16" s="117">
        <v>63.090000000000011</v>
      </c>
      <c r="E16" s="117">
        <v>4.4241666666666655</v>
      </c>
      <c r="F16" s="117">
        <v>0.84916666666666663</v>
      </c>
      <c r="G16" s="117">
        <v>0.13500000000000001</v>
      </c>
      <c r="H16" s="117">
        <v>0.41166666666666663</v>
      </c>
      <c r="I16" s="148">
        <f t="shared" si="1"/>
        <v>0.40587666666666666</v>
      </c>
      <c r="J16" s="181">
        <v>0.02</v>
      </c>
      <c r="K16" s="118">
        <v>1.79</v>
      </c>
      <c r="L16" s="116">
        <f>IF(A16=0,"",(100*(D16-0.7*F16))/(2.8*A16+1.18*B16+0.65*C16))</f>
        <v>91.591848140242661</v>
      </c>
      <c r="M16" s="148">
        <f>+IF(A16=0,"",A16/(B16+C16))</f>
        <v>2.4095754628763792</v>
      </c>
      <c r="N16" s="149">
        <f>IF(B16=0,"",B16/C16)</f>
        <v>0.9611223179900974</v>
      </c>
      <c r="O16" s="182">
        <f>IF(A16=0,"",4.07*(D16)-7.6*A16-6.72*B16-1.43*C16-2.85*F16)</f>
        <v>55.311083333333386</v>
      </c>
      <c r="P16" s="117">
        <f>IF(A16=0,"",2.87*A16-0.754*O16)</f>
        <v>19.923909833333298</v>
      </c>
      <c r="Q16" s="117">
        <f>IF(B16=0,"",2.65*B16-1.69*C16)</f>
        <v>3.894233333333335</v>
      </c>
      <c r="R16" s="118">
        <f>IF(C16=0,"",3.04*C16)</f>
        <v>13.814266666666667</v>
      </c>
      <c r="S16" s="115">
        <f t="shared" si="0"/>
        <v>21.602733333333337</v>
      </c>
      <c r="T16" s="115">
        <f>IF(Q16="","",(1.13*Q16)+(1.35*R16)+E16+I16)</f>
        <v>27.879787000000004</v>
      </c>
      <c r="U16" s="191">
        <v>1160</v>
      </c>
      <c r="V16" s="194"/>
      <c r="W16" s="188"/>
      <c r="X16" s="202"/>
      <c r="Y16" s="202"/>
      <c r="Z16" s="201"/>
      <c r="AA16" s="195"/>
      <c r="AB16" s="195"/>
      <c r="AC16" s="192"/>
      <c r="AD16" s="192"/>
      <c r="AE16" s="199"/>
      <c r="AF16" s="193"/>
    </row>
    <row r="17" spans="1:33" ht="20.100000000000001" customHeight="1" x14ac:dyDescent="0.25">
      <c r="A17" s="116">
        <v>21.493333333333336</v>
      </c>
      <c r="B17" s="117">
        <v>4.335</v>
      </c>
      <c r="C17" s="117">
        <v>4.5375000000000005</v>
      </c>
      <c r="D17" s="117">
        <v>63.012499999999996</v>
      </c>
      <c r="E17" s="117">
        <v>4.5758333333333336</v>
      </c>
      <c r="F17" s="117">
        <v>0.84666666666666668</v>
      </c>
      <c r="G17" s="117">
        <v>0.13083333333333333</v>
      </c>
      <c r="H17" s="117">
        <v>0.41583333333333333</v>
      </c>
      <c r="I17" s="148">
        <f t="shared" si="1"/>
        <v>0.40445166666666665</v>
      </c>
      <c r="J17" s="181">
        <v>0.02</v>
      </c>
      <c r="K17" s="118">
        <v>1.67</v>
      </c>
      <c r="L17" s="116">
        <f>IF(A17=0,"",(100*(D17-0.7*F17))/(2.8*A17+1.18*B17+0.65*C17))</f>
        <v>91.462980557715142</v>
      </c>
      <c r="M17" s="148">
        <f>+IF(A17=0,"",A17/(B17+C17))</f>
        <v>2.4224664224664227</v>
      </c>
      <c r="N17" s="149">
        <f>IF(B17=0,"",B17/C17)</f>
        <v>0.95537190082644619</v>
      </c>
      <c r="O17" s="182">
        <f>IF(A17=0,"",4.07*(D17)-7.6*A17-6.72*B17-1.43*C17-2.85*F17)</f>
        <v>55.078716666666651</v>
      </c>
      <c r="P17" s="117">
        <f>IF(A17=0,"",2.87*A17-0.754*O17)</f>
        <v>20.156514300000019</v>
      </c>
      <c r="Q17" s="117">
        <f>IF(B17=0,"",2.65*B17-1.69*C17)</f>
        <v>3.8193749999999991</v>
      </c>
      <c r="R17" s="118">
        <f>IF(C17=0,"",3.04*C17)</f>
        <v>13.794000000000002</v>
      </c>
      <c r="S17" s="115">
        <f t="shared" si="0"/>
        <v>21.432749999999999</v>
      </c>
      <c r="T17" s="115">
        <f>IF(Q17="","",(1.13*Q17)+(1.35*R17)+E17+I17)</f>
        <v>27.918078750000006</v>
      </c>
      <c r="U17" s="191">
        <v>1169</v>
      </c>
      <c r="V17" s="194"/>
      <c r="W17" s="195"/>
      <c r="X17" s="202"/>
      <c r="Y17" s="202"/>
      <c r="Z17" s="203"/>
      <c r="AA17" s="195"/>
      <c r="AB17" s="195"/>
      <c r="AC17" s="204"/>
      <c r="AD17" s="192"/>
      <c r="AE17" s="204"/>
      <c r="AF17" s="193"/>
    </row>
    <row r="18" spans="1:33" ht="20.100000000000001" customHeight="1" x14ac:dyDescent="0.25">
      <c r="A18" s="116">
        <v>21.455833333333334</v>
      </c>
      <c r="B18" s="117">
        <v>4.3891666666666653</v>
      </c>
      <c r="C18" s="117">
        <v>4.5508333333333333</v>
      </c>
      <c r="D18" s="117">
        <v>63.077499999999993</v>
      </c>
      <c r="E18" s="117">
        <v>4.6658333333333326</v>
      </c>
      <c r="F18" s="117">
        <v>0.83500000000000008</v>
      </c>
      <c r="G18" s="117">
        <v>0.13083333333333333</v>
      </c>
      <c r="H18" s="117">
        <v>0.42083333333333339</v>
      </c>
      <c r="I18" s="148">
        <f t="shared" si="1"/>
        <v>0.40774166666666667</v>
      </c>
      <c r="J18" s="181">
        <v>0.02</v>
      </c>
      <c r="K18" s="118">
        <v>1.7</v>
      </c>
      <c r="L18" s="116">
        <f>IF(A18=0,"",(100*(D18-0.7*F18))/(2.8*A18+1.18*B18+0.65*C18))</f>
        <v>91.613706994610411</v>
      </c>
      <c r="M18" s="148">
        <f>+IF(A18=0,"",A18/(B18+C18))</f>
        <v>2.3999813571961228</v>
      </c>
      <c r="N18" s="149">
        <f>IF(B18=0,"",B18/C18)</f>
        <v>0.96447537081120649</v>
      </c>
      <c r="O18" s="182">
        <f>IF(A18=0,"",4.07*(D18)-7.6*A18-6.72*B18-1.43*C18-2.85*F18)</f>
        <v>55.278449999999985</v>
      </c>
      <c r="P18" s="117">
        <f>IF(A18=0,"",2.87*A18-0.754*O18)</f>
        <v>19.898290366666679</v>
      </c>
      <c r="Q18" s="117">
        <f>IF(B18=0,"",2.65*B18-1.69*C18)</f>
        <v>3.9403833333333296</v>
      </c>
      <c r="R18" s="118">
        <f>IF(C18=0,"",3.04*C18)</f>
        <v>13.834533333333333</v>
      </c>
      <c r="S18" s="115">
        <f t="shared" si="0"/>
        <v>21.715299999999992</v>
      </c>
      <c r="T18" s="115">
        <f>IF(Q18="","",(1.13*Q18)+(1.35*R18)+E18+I18)</f>
        <v>28.202828166666659</v>
      </c>
      <c r="U18" s="191">
        <v>1183</v>
      </c>
      <c r="V18" s="194"/>
      <c r="W18" s="195"/>
      <c r="X18" s="202"/>
      <c r="Y18" s="202"/>
      <c r="Z18" s="201"/>
      <c r="AA18" s="195"/>
      <c r="AB18" s="195"/>
      <c r="AC18" s="204"/>
      <c r="AD18" s="192"/>
      <c r="AE18" s="204"/>
      <c r="AF18" s="193"/>
    </row>
    <row r="19" spans="1:33" ht="20.100000000000001" customHeight="1" x14ac:dyDescent="0.25">
      <c r="A19" s="116">
        <v>21.425833333333333</v>
      </c>
      <c r="B19" s="117">
        <v>4.394166666666667</v>
      </c>
      <c r="C19" s="117">
        <v>4.5674999999999999</v>
      </c>
      <c r="D19" s="117">
        <v>63.179166666666667</v>
      </c>
      <c r="E19" s="117">
        <v>4.5</v>
      </c>
      <c r="F19" s="117">
        <v>0.86416666666666664</v>
      </c>
      <c r="G19" s="117">
        <v>0.1333333333333333</v>
      </c>
      <c r="H19" s="117">
        <v>0.43</v>
      </c>
      <c r="I19" s="148">
        <f t="shared" si="1"/>
        <v>0.41627333333333333</v>
      </c>
      <c r="J19" s="181">
        <v>0.02</v>
      </c>
      <c r="K19" s="118">
        <v>1.77</v>
      </c>
      <c r="L19" s="116">
        <f>IF(A19=0,"",(100*(D19-0.7*F19))/(2.8*A19+1.18*B19+0.65*C19))</f>
        <v>91.82336685067024</v>
      </c>
      <c r="M19" s="148">
        <f>+IF(A19=0,"",A19/(B19+C19))</f>
        <v>2.3908313185791337</v>
      </c>
      <c r="N19" s="149">
        <f>IF(B19=0,"",B19/C19)</f>
        <v>0.9620507206714104</v>
      </c>
      <c r="O19" s="182">
        <f>IF(A19=0,"",4.07*(D19)-7.6*A19-6.72*B19-1.43*C19-2.85*F19)</f>
        <v>55.779674999999997</v>
      </c>
      <c r="P19" s="117">
        <f>IF(A19=0,"",2.87*A19-0.754*O19)</f>
        <v>19.43426671666667</v>
      </c>
      <c r="Q19" s="117">
        <f>IF(B19=0,"",2.65*B19-1.69*C19)</f>
        <v>3.9254666666666678</v>
      </c>
      <c r="R19" s="118">
        <f>IF(C19=0,"",3.04*C19)</f>
        <v>13.885199999999999</v>
      </c>
      <c r="S19" s="115">
        <f t="shared" si="0"/>
        <v>21.736133333333335</v>
      </c>
      <c r="T19" s="115">
        <f>IF(Q19="","",(1.13*Q19)+(1.35*R19)+E19+I19)</f>
        <v>28.097070666666667</v>
      </c>
      <c r="U19" s="191">
        <v>1158</v>
      </c>
      <c r="V19" s="194"/>
      <c r="W19" s="195"/>
      <c r="X19" s="202"/>
      <c r="Y19" s="202"/>
      <c r="Z19" s="201"/>
      <c r="AA19" s="195"/>
      <c r="AB19" s="195"/>
      <c r="AC19" s="204"/>
      <c r="AD19" s="204"/>
      <c r="AE19" s="204"/>
      <c r="AF19" s="193"/>
    </row>
    <row r="20" spans="1:33" ht="20.100000000000001" customHeight="1" x14ac:dyDescent="0.25">
      <c r="A20" s="116">
        <v>21.461666666666662</v>
      </c>
      <c r="B20" s="117">
        <v>4.3966666666666665</v>
      </c>
      <c r="C20" s="117">
        <v>4.5433333333333339</v>
      </c>
      <c r="D20" s="117">
        <v>63.167499999999997</v>
      </c>
      <c r="E20" s="117">
        <v>4.5983333333333336</v>
      </c>
      <c r="F20" s="117">
        <v>0.83416666666666683</v>
      </c>
      <c r="G20" s="117">
        <v>0.13166666666666668</v>
      </c>
      <c r="H20" s="117">
        <v>0.42666666666666669</v>
      </c>
      <c r="I20" s="148">
        <f t="shared" si="1"/>
        <v>0.41241333333333341</v>
      </c>
      <c r="J20" s="181">
        <v>0.02</v>
      </c>
      <c r="K20" s="118">
        <v>1.77</v>
      </c>
      <c r="L20" s="116">
        <f>IF(A20=0,"",(100*(D20-0.7*F20))/(2.8*A20+1.18*B20+0.65*C20))</f>
        <v>91.719194320320767</v>
      </c>
      <c r="M20" s="148">
        <f>+IF(A20=0,"",A20/(B20+C20))</f>
        <v>2.4006338553318409</v>
      </c>
      <c r="N20" s="149">
        <f>IF(B20=0,"",B20/C20)</f>
        <v>0.96771826852531162</v>
      </c>
      <c r="O20" s="182">
        <f>IF(A20=0,"",4.07*(D20)-7.6*A20-6.72*B20-1.43*C20-2.85*F20)</f>
        <v>55.563116666666701</v>
      </c>
      <c r="P20" s="117">
        <f>IF(A20=0,"",2.87*A20-0.754*O20)</f>
        <v>19.700393366666631</v>
      </c>
      <c r="Q20" s="117">
        <f>IF(B20=0,"",2.65*B20-1.69*C20)</f>
        <v>3.9729333333333328</v>
      </c>
      <c r="R20" s="118">
        <f>IF(C20=0,"",3.04*C20)</f>
        <v>13.811733333333335</v>
      </c>
      <c r="S20" s="115">
        <f t="shared" si="0"/>
        <v>21.7576</v>
      </c>
      <c r="T20" s="115">
        <f>IF(Q20="","",(1.13*Q20)+(1.35*R20)+E20+I20)</f>
        <v>28.146001333333334</v>
      </c>
      <c r="U20" s="191">
        <v>1107</v>
      </c>
      <c r="V20" s="194"/>
      <c r="W20" s="205"/>
      <c r="X20" s="206"/>
      <c r="Y20" s="202"/>
      <c r="Z20" s="201"/>
      <c r="AA20" s="195"/>
      <c r="AB20" s="195"/>
      <c r="AC20" s="192"/>
      <c r="AD20" s="192"/>
      <c r="AE20" s="204"/>
      <c r="AF20" s="193"/>
    </row>
    <row r="21" spans="1:33" ht="20.100000000000001" customHeight="1" x14ac:dyDescent="0.25">
      <c r="A21" s="116">
        <v>21.490833333333338</v>
      </c>
      <c r="B21" s="117">
        <v>4.2925000000000004</v>
      </c>
      <c r="C21" s="117">
        <v>4.5441666666666665</v>
      </c>
      <c r="D21" s="117">
        <v>63.148333333333341</v>
      </c>
      <c r="E21" s="117">
        <v>4.5166666666666675</v>
      </c>
      <c r="F21" s="117">
        <v>0.87000000000000011</v>
      </c>
      <c r="G21" s="117">
        <v>0.13166666666666663</v>
      </c>
      <c r="H21" s="117">
        <v>0.44166666666666665</v>
      </c>
      <c r="I21" s="148">
        <f t="shared" si="1"/>
        <v>0.42228333333333334</v>
      </c>
      <c r="J21" s="181">
        <v>0.02</v>
      </c>
      <c r="K21" s="118">
        <v>1.77</v>
      </c>
      <c r="L21" s="116">
        <f>IF(A21=0,"",(100*(D21-0.7*F21))/(2.8*A21+1.18*B21+0.65*C21))</f>
        <v>91.709057465780731</v>
      </c>
      <c r="M21" s="148">
        <f>+IF(A21=0,"",A21/(B21+C21))</f>
        <v>2.4320067898906079</v>
      </c>
      <c r="N21" s="149">
        <f>IF(B21=0,"",B21/C21)</f>
        <v>0.94461764166513862</v>
      </c>
      <c r="O21" s="182">
        <f>IF(A21=0,"",4.07*(D21)-7.6*A21-6.72*B21-1.43*C21-2.85*F21)</f>
        <v>55.860125000000011</v>
      </c>
      <c r="P21" s="117">
        <f>IF(A21=0,"",2.87*A21-0.754*O21)</f>
        <v>19.560157416666669</v>
      </c>
      <c r="Q21" s="117">
        <f>IF(B21=0,"",2.65*B21-1.69*C21)</f>
        <v>3.6954833333333346</v>
      </c>
      <c r="R21" s="118">
        <f>IF(C21=0,"",3.04*C21)</f>
        <v>13.814266666666667</v>
      </c>
      <c r="S21" s="115">
        <f t="shared" si="0"/>
        <v>21.205233333333336</v>
      </c>
      <c r="T21" s="115">
        <f>IF(Q21="","",(1.13*Q21)+(1.35*R21)+E21+I21)</f>
        <v>27.764106166666672</v>
      </c>
      <c r="U21" s="191">
        <v>1151</v>
      </c>
      <c r="V21" s="194"/>
      <c r="W21" s="207"/>
      <c r="X21" s="202"/>
      <c r="Y21" s="202"/>
      <c r="Z21" s="201"/>
      <c r="AA21" s="195"/>
      <c r="AB21" s="195"/>
      <c r="AC21" s="204"/>
      <c r="AD21" s="204"/>
      <c r="AE21" s="204"/>
      <c r="AF21" s="193"/>
    </row>
    <row r="22" spans="1:33" ht="20.100000000000001" customHeight="1" x14ac:dyDescent="0.25">
      <c r="A22" s="116">
        <v>21.536666666666672</v>
      </c>
      <c r="B22" s="117">
        <v>4.2525000000000004</v>
      </c>
      <c r="C22" s="117">
        <v>4.5174999999999992</v>
      </c>
      <c r="D22" s="117">
        <v>63.154166666666669</v>
      </c>
      <c r="E22" s="117">
        <v>4.3641666666666667</v>
      </c>
      <c r="F22" s="117">
        <v>0.89583333333333337</v>
      </c>
      <c r="G22" s="117">
        <v>0.1333333333333333</v>
      </c>
      <c r="H22" s="117">
        <v>0.44249999999999995</v>
      </c>
      <c r="I22" s="148">
        <f t="shared" si="1"/>
        <v>0.42449833333333326</v>
      </c>
      <c r="J22" s="181">
        <v>0.02</v>
      </c>
      <c r="K22" s="118">
        <v>1.84</v>
      </c>
      <c r="L22" s="116">
        <f>IF(A22=0,"",(100*(D22-0.7*F22))/(2.8*A22+1.18*B22+0.65*C22))</f>
        <v>91.605389875200814</v>
      </c>
      <c r="M22" s="148">
        <f>+IF(A22=0,"",A22/(B22+C22))</f>
        <v>2.4557202584568611</v>
      </c>
      <c r="N22" s="149">
        <f>IF(B22=0,"",B22/C22)</f>
        <v>0.94133923630326533</v>
      </c>
      <c r="O22" s="182">
        <f>IF(A22=0,"",4.07*(D22)-7.6*A22-6.72*B22-1.43*C22-2.85*F22)</f>
        <v>55.768841666666624</v>
      </c>
      <c r="P22" s="117">
        <f>IF(A22=0,"",2.87*A22-0.754*O22)</f>
        <v>19.760526716666718</v>
      </c>
      <c r="Q22" s="117">
        <f>IF(B22=0,"",2.65*B22-1.69*C22)</f>
        <v>3.6345500000000026</v>
      </c>
      <c r="R22" s="118">
        <f>IF(C22=0,"",3.04*C22)</f>
        <v>13.733199999999998</v>
      </c>
      <c r="S22" s="115">
        <f t="shared" si="0"/>
        <v>21.002300000000005</v>
      </c>
      <c r="T22" s="115">
        <f>IF(Q22="","",(1.13*Q22)+(1.35*R22)+E22+I22)</f>
        <v>27.435526499999998</v>
      </c>
      <c r="U22" s="191">
        <v>1134</v>
      </c>
      <c r="V22" s="194"/>
      <c r="W22" s="195"/>
      <c r="X22" s="202"/>
      <c r="Y22" s="202"/>
      <c r="Z22" s="203"/>
      <c r="AA22" s="195"/>
      <c r="AB22" s="195"/>
      <c r="AC22" s="204"/>
      <c r="AD22" s="192"/>
      <c r="AE22" s="204"/>
      <c r="AF22" s="193"/>
    </row>
    <row r="23" spans="1:33" ht="20.100000000000001" customHeight="1" x14ac:dyDescent="0.25">
      <c r="A23" s="116">
        <v>21.413333333333338</v>
      </c>
      <c r="B23" s="117">
        <v>4.2741666666666669</v>
      </c>
      <c r="C23" s="117">
        <v>4.581666666666667</v>
      </c>
      <c r="D23" s="117">
        <v>63.343333333333327</v>
      </c>
      <c r="E23" s="117">
        <v>4.1658333333333326</v>
      </c>
      <c r="F23" s="117">
        <v>0.91999999999999993</v>
      </c>
      <c r="G23" s="117">
        <v>0.13500000000000001</v>
      </c>
      <c r="H23" s="117">
        <v>0.45833333333333326</v>
      </c>
      <c r="I23" s="148">
        <f t="shared" si="1"/>
        <v>0.43658333333333332</v>
      </c>
      <c r="J23" s="181">
        <v>0.02</v>
      </c>
      <c r="K23" s="118">
        <v>1.89</v>
      </c>
      <c r="L23" s="116">
        <f>IF(A23=0,"",(100*(D23-0.7*F23))/(2.8*A23+1.18*B23+0.65*C23))</f>
        <v>92.233476253427526</v>
      </c>
      <c r="M23" s="148">
        <f>+IF(A23=0,"",A23/(B23+C23))</f>
        <v>2.4179919074056655</v>
      </c>
      <c r="N23" s="149">
        <f>IF(B23=0,"",B23/C23)</f>
        <v>0.9328846853401237</v>
      </c>
      <c r="O23" s="182">
        <f>IF(A23=0,"",4.07*(D23)-7.6*A23-6.72*B23-1.43*C23-2.85*F23)</f>
        <v>57.169849999999983</v>
      </c>
      <c r="P23" s="117">
        <f>IF(A23=0,"",2.87*A23-0.754*O23)</f>
        <v>18.350199766666691</v>
      </c>
      <c r="Q23" s="117">
        <f>IF(B23=0,"",2.65*B23-1.69*C23)</f>
        <v>3.5835250000000007</v>
      </c>
      <c r="R23" s="118">
        <f>IF(C23=0,"",3.04*C23)</f>
        <v>13.928266666666667</v>
      </c>
      <c r="S23" s="115">
        <f t="shared" si="0"/>
        <v>21.095316666666669</v>
      </c>
      <c r="T23" s="115">
        <f>IF(Q23="","",(1.13*Q23)+(1.35*R23)+E23+I23)</f>
        <v>27.45495991666667</v>
      </c>
      <c r="U23" s="191">
        <v>1153</v>
      </c>
      <c r="V23" s="194"/>
      <c r="W23" s="195"/>
      <c r="X23" s="202"/>
      <c r="Y23" s="202"/>
      <c r="Z23" s="203"/>
      <c r="AA23" s="195"/>
      <c r="AB23" s="195"/>
      <c r="AC23" s="204"/>
      <c r="AD23" s="192"/>
      <c r="AE23" s="199"/>
      <c r="AF23" s="208"/>
    </row>
    <row r="24" spans="1:33" ht="20.100000000000001" customHeight="1" x14ac:dyDescent="0.25">
      <c r="A24" s="116">
        <v>21.385454545454547</v>
      </c>
      <c r="B24" s="117">
        <v>4.3427272727272728</v>
      </c>
      <c r="C24" s="117">
        <v>4.68</v>
      </c>
      <c r="D24" s="117">
        <v>63.168181818181807</v>
      </c>
      <c r="E24" s="117">
        <v>4.0663636363636373</v>
      </c>
      <c r="F24" s="117">
        <v>0.90454545454545465</v>
      </c>
      <c r="G24" s="117">
        <v>0.13545454545454544</v>
      </c>
      <c r="H24" s="117">
        <v>0.44636363636363635</v>
      </c>
      <c r="I24" s="148">
        <f t="shared" si="1"/>
        <v>0.42916181818181814</v>
      </c>
      <c r="J24" s="181">
        <v>0.02</v>
      </c>
      <c r="K24" s="118">
        <v>1.83</v>
      </c>
      <c r="L24" s="116">
        <f>IF(A24=0,"",(100*(D24-0.7*F24))/(2.8*A24+1.18*B24+0.65*C24))</f>
        <v>91.901484376941369</v>
      </c>
      <c r="M24" s="148">
        <f>+IF(A24=0,"",A24/(B24+C24))</f>
        <v>2.370176322418136</v>
      </c>
      <c r="N24" s="149">
        <f>IF(B24=0,"",B24/C24)</f>
        <v>0.92793317793317798</v>
      </c>
      <c r="O24" s="182">
        <f>IF(A24=0,"",4.07*(D24)-7.6*A24-6.72*B24-1.43*C24-2.85*F24)</f>
        <v>56.11156363636362</v>
      </c>
      <c r="P24" s="117">
        <f>IF(A24=0,"",2.87*A24-0.754*O24)</f>
        <v>19.068135563636382</v>
      </c>
      <c r="Q24" s="117">
        <f>IF(B24=0,"",2.65*B24-1.69*C24)</f>
        <v>3.5990272727272723</v>
      </c>
      <c r="R24" s="118">
        <f>IF(C24=0,"",3.04*C24)</f>
        <v>14.2272</v>
      </c>
      <c r="S24" s="115">
        <f t="shared" si="0"/>
        <v>21.425254545454543</v>
      </c>
      <c r="T24" s="115">
        <f>IF(Q24="","",(1.13*Q24)+(1.35*R24)+E24+I24)</f>
        <v>27.769146272727273</v>
      </c>
      <c r="U24" s="191">
        <v>1137</v>
      </c>
      <c r="V24" s="194"/>
      <c r="W24" s="195"/>
      <c r="X24" s="202"/>
      <c r="Y24" s="202"/>
      <c r="Z24" s="203"/>
      <c r="AA24" s="195"/>
      <c r="AB24" s="195"/>
      <c r="AC24" s="204"/>
      <c r="AD24" s="192"/>
      <c r="AE24" s="199"/>
      <c r="AF24" s="208"/>
    </row>
    <row r="25" spans="1:33" ht="20.100000000000001" customHeight="1" x14ac:dyDescent="0.25">
      <c r="A25" s="116">
        <v>21.506666666666664</v>
      </c>
      <c r="B25" s="117">
        <v>4.4216666666666669</v>
      </c>
      <c r="C25" s="117">
        <v>4.6383333333333336</v>
      </c>
      <c r="D25" s="117">
        <v>63.195833333333333</v>
      </c>
      <c r="E25" s="117">
        <v>4.1125000000000007</v>
      </c>
      <c r="F25" s="117">
        <v>0.83583333333333332</v>
      </c>
      <c r="G25" s="117">
        <v>0.13166666666666668</v>
      </c>
      <c r="H25" s="117">
        <v>0.43250000000000005</v>
      </c>
      <c r="I25" s="148">
        <f t="shared" si="1"/>
        <v>0.41625166666666669</v>
      </c>
      <c r="J25" s="181">
        <v>0.02</v>
      </c>
      <c r="K25" s="118">
        <v>1.7</v>
      </c>
      <c r="L25" s="116">
        <f>IF(A25=0,"",(100*(D25-0.7*F25))/(2.8*A25+1.18*B25+0.65*C25))</f>
        <v>91.46778395980202</v>
      </c>
      <c r="M25" s="148">
        <f>+IF(A25=0,"",A25/(B25+C25))</f>
        <v>2.3738042678440023</v>
      </c>
      <c r="N25" s="149">
        <f>IF(B25=0,"",B25/C25)</f>
        <v>0.9532878189004671</v>
      </c>
      <c r="O25" s="182">
        <f>IF(A25=0,"",4.07*(D25)-7.6*A25-6.72*B25-1.43*C25-2.85*F25)</f>
        <v>55.027833333333348</v>
      </c>
      <c r="P25" s="117">
        <f>IF(A25=0,"",2.87*A25-0.754*O25)</f>
        <v>20.233146999999981</v>
      </c>
      <c r="Q25" s="117">
        <f>IF(B25=0,"",2.65*B25-1.69*C25)</f>
        <v>3.8786333333333332</v>
      </c>
      <c r="R25" s="118">
        <f>IF(C25=0,"",3.04*C25)</f>
        <v>14.100533333333335</v>
      </c>
      <c r="S25" s="115">
        <f t="shared" si="0"/>
        <v>21.857800000000001</v>
      </c>
      <c r="T25" s="115">
        <f>IF(Q25="","",(1.13*Q25)+(1.35*R25)+E25+I25)</f>
        <v>27.947327333333337</v>
      </c>
      <c r="U25" s="191">
        <v>1217</v>
      </c>
      <c r="V25" s="194"/>
      <c r="W25" s="195"/>
      <c r="X25" s="202"/>
      <c r="Y25" s="202"/>
      <c r="Z25" s="203"/>
      <c r="AA25" s="195"/>
      <c r="AB25" s="195"/>
      <c r="AC25" s="204"/>
      <c r="AD25" s="192"/>
      <c r="AE25" s="199"/>
      <c r="AF25" s="208"/>
    </row>
    <row r="26" spans="1:33" ht="20.100000000000001" customHeight="1" x14ac:dyDescent="0.25">
      <c r="A26" s="116">
        <v>21.38</v>
      </c>
      <c r="B26" s="117">
        <v>4.3983333333333334</v>
      </c>
      <c r="C26" s="117">
        <v>4.7441666666666658</v>
      </c>
      <c r="D26" s="117">
        <v>63.094166666666666</v>
      </c>
      <c r="E26" s="117">
        <v>4.1258333333333335</v>
      </c>
      <c r="F26" s="117">
        <v>0.89749999999999985</v>
      </c>
      <c r="G26" s="117">
        <v>0.13583333333333336</v>
      </c>
      <c r="H26" s="117">
        <v>0.45083333333333336</v>
      </c>
      <c r="I26" s="148">
        <f t="shared" si="1"/>
        <v>0.43248166666666671</v>
      </c>
      <c r="J26" s="181">
        <v>0.02</v>
      </c>
      <c r="K26" s="118">
        <v>1.72</v>
      </c>
      <c r="L26" s="116">
        <f>IF(A26=0,"",(100*(D26-0.7*F26))/(2.8*A26+1.18*B26+0.65*C26))</f>
        <v>91.675942199923711</v>
      </c>
      <c r="M26" s="148">
        <f>+IF(A26=0,"",A26/(B26+C26))</f>
        <v>2.3385288487831559</v>
      </c>
      <c r="N26" s="149">
        <f>IF(B26=0,"",B26/C26)</f>
        <v>0.92710346038995273</v>
      </c>
      <c r="O26" s="182">
        <f>IF(A26=0,"",4.07*(D26)-7.6*A26-6.72*B26-1.43*C26-2.85*F26)</f>
        <v>55.40642500000007</v>
      </c>
      <c r="P26" s="117">
        <f>IF(A26=0,"",2.87*A26-0.754*O26)</f>
        <v>19.584155549999949</v>
      </c>
      <c r="Q26" s="117">
        <f>IF(B26=0,"",2.65*B26-1.69*C26)</f>
        <v>3.6379416666666682</v>
      </c>
      <c r="R26" s="118">
        <f>IF(C26=0,"",3.04*C26)</f>
        <v>14.422266666666664</v>
      </c>
      <c r="S26" s="115">
        <f t="shared" si="0"/>
        <v>21.698149999999998</v>
      </c>
      <c r="T26" s="115">
        <f>IF(Q26="","",(1.13*Q26)+(1.35*R26)+E26+I26)</f>
        <v>28.139249083333333</v>
      </c>
      <c r="U26" s="191">
        <v>1271</v>
      </c>
      <c r="V26" s="194"/>
      <c r="W26" s="195"/>
      <c r="X26" s="202"/>
      <c r="Y26" s="202"/>
      <c r="Z26" s="203"/>
      <c r="AA26" s="195"/>
      <c r="AB26" s="195"/>
      <c r="AC26" s="204"/>
      <c r="AD26" s="192"/>
      <c r="AE26" s="199"/>
      <c r="AF26" s="208"/>
    </row>
    <row r="27" spans="1:33" ht="20.100000000000001" customHeight="1" x14ac:dyDescent="0.25">
      <c r="A27" s="116">
        <v>21.456666666666667</v>
      </c>
      <c r="B27" s="117">
        <v>4.3933333333333335</v>
      </c>
      <c r="C27" s="117">
        <v>4.6674999999999995</v>
      </c>
      <c r="D27" s="117">
        <v>63.231666666666676</v>
      </c>
      <c r="E27" s="117">
        <v>4.0266666666666664</v>
      </c>
      <c r="F27" s="117">
        <v>0.97666666666666668</v>
      </c>
      <c r="G27" s="117">
        <v>0.13916666666666669</v>
      </c>
      <c r="H27" s="117">
        <v>0.47583333333333333</v>
      </c>
      <c r="I27" s="148">
        <f t="shared" si="1"/>
        <v>0.45226500000000003</v>
      </c>
      <c r="J27" s="181">
        <v>0.02</v>
      </c>
      <c r="K27" s="118">
        <v>1.71</v>
      </c>
      <c r="L27" s="116">
        <f>IF(A27=0,"",(100*(D27-0.7*F27))/(2.8*A27+1.18*B27+0.65*C27))</f>
        <v>91.582789352483147</v>
      </c>
      <c r="M27" s="148">
        <f>+IF(A27=0,"",A27/(B27+C27))</f>
        <v>2.3680676906097675</v>
      </c>
      <c r="N27" s="149">
        <f>IF(B27=0,"",B27/C27)</f>
        <v>0.94126048919835759</v>
      </c>
      <c r="O27" s="182">
        <f>IF(A27=0,"",4.07*(D27)-7.6*A27-6.72*B27-1.43*C27-2.85*F27)</f>
        <v>55.300991666666746</v>
      </c>
      <c r="P27" s="117">
        <f>IF(A27=0,"",2.87*A27-0.754*O27)</f>
        <v>19.883685616666611</v>
      </c>
      <c r="Q27" s="117">
        <f>IF(B27=0,"",2.65*B27-1.69*C27)</f>
        <v>3.7542583333333344</v>
      </c>
      <c r="R27" s="118">
        <f>IF(C27=0,"",3.04*C27)</f>
        <v>14.1892</v>
      </c>
      <c r="S27" s="115">
        <f t="shared" si="0"/>
        <v>21.697716666666668</v>
      </c>
      <c r="T27" s="115">
        <f>IF(Q27="","",(1.13*Q27)+(1.35*R27)+E27+I27)</f>
        <v>27.876663583333336</v>
      </c>
      <c r="U27" s="209">
        <v>1229</v>
      </c>
      <c r="V27" s="194"/>
      <c r="W27" s="195"/>
      <c r="X27" s="202"/>
      <c r="Y27" s="202"/>
      <c r="Z27" s="203"/>
      <c r="AA27" s="195"/>
      <c r="AB27" s="195"/>
      <c r="AC27" s="204"/>
      <c r="AD27" s="192"/>
      <c r="AE27" s="199"/>
      <c r="AF27" s="208"/>
    </row>
    <row r="28" spans="1:33" ht="20.100000000000001" customHeight="1" x14ac:dyDescent="0.25">
      <c r="A28" s="116">
        <v>21.481666666666669</v>
      </c>
      <c r="B28" s="117">
        <v>4.3791666666666664</v>
      </c>
      <c r="C28" s="117">
        <v>4.6500000000000012</v>
      </c>
      <c r="D28" s="117">
        <v>63.166666666666664</v>
      </c>
      <c r="E28" s="117">
        <v>4.1158333333333337</v>
      </c>
      <c r="F28" s="117">
        <v>0.9325</v>
      </c>
      <c r="G28" s="117">
        <v>0.13583333333333336</v>
      </c>
      <c r="H28" s="117">
        <v>0.46416666666666667</v>
      </c>
      <c r="I28" s="148">
        <f t="shared" si="1"/>
        <v>0.44125500000000006</v>
      </c>
      <c r="J28" s="181">
        <v>0.02</v>
      </c>
      <c r="K28" s="118">
        <v>1.76</v>
      </c>
      <c r="L28" s="116">
        <f>IF(A28=0,"",(100*(D28-0.7*F28))/(2.8*A28+1.18*B28+0.65*C28))</f>
        <v>91.476752395852515</v>
      </c>
      <c r="M28" s="148">
        <f>+IF(A28=0,"",A28/(B28+C28))</f>
        <v>2.3791416705122286</v>
      </c>
      <c r="N28" s="149">
        <f>IF(B28=0,"",B28/C28)</f>
        <v>0.94175627240143334</v>
      </c>
      <c r="O28" s="182">
        <f>IF(A28=0,"",4.07*(D28)-7.6*A28-6.72*B28-1.43*C28-2.85*F28)</f>
        <v>55.092541666666683</v>
      </c>
      <c r="P28" s="117">
        <f>IF(A28=0,"",2.87*A28-0.754*O28)</f>
        <v>20.112606916666664</v>
      </c>
      <c r="Q28" s="117">
        <f>IF(B28=0,"",2.65*B28-1.69*C28)</f>
        <v>3.7462916666666635</v>
      </c>
      <c r="R28" s="118">
        <f>IF(C28=0,"",3.04*C28)</f>
        <v>14.136000000000005</v>
      </c>
      <c r="S28" s="115">
        <f t="shared" si="0"/>
        <v>21.628583333333331</v>
      </c>
      <c r="T28" s="115">
        <f>IF(Q28="","",(1.13*Q28)+(1.35*R28)+E28+I28)</f>
        <v>27.873997916666674</v>
      </c>
      <c r="U28" s="191">
        <v>1207</v>
      </c>
      <c r="V28" s="194"/>
      <c r="W28" s="195"/>
      <c r="X28" s="202"/>
      <c r="Y28" s="202"/>
      <c r="Z28" s="203"/>
      <c r="AA28" s="195"/>
      <c r="AB28" s="195"/>
      <c r="AC28" s="204"/>
      <c r="AD28" s="192"/>
      <c r="AE28" s="199"/>
      <c r="AF28" s="208"/>
    </row>
    <row r="29" spans="1:33" ht="20.100000000000001" customHeight="1" x14ac:dyDescent="0.25">
      <c r="A29" s="210">
        <v>21.465833333333332</v>
      </c>
      <c r="B29" s="211">
        <v>4.392500000000001</v>
      </c>
      <c r="C29" s="211">
        <v>4.5866666666666669</v>
      </c>
      <c r="D29" s="211">
        <v>63.215833333333329</v>
      </c>
      <c r="E29" s="211">
        <v>4.1674999999999995</v>
      </c>
      <c r="F29" s="211">
        <v>0.91083333333333327</v>
      </c>
      <c r="G29" s="211">
        <v>0.14533333333333331</v>
      </c>
      <c r="H29" s="211">
        <v>0.45416666666666666</v>
      </c>
      <c r="I29" s="148">
        <f t="shared" si="1"/>
        <v>0.44417499999999999</v>
      </c>
      <c r="J29" s="181">
        <v>0.02</v>
      </c>
      <c r="K29" s="118">
        <v>1.75</v>
      </c>
      <c r="L29" s="116">
        <f>IF(A29=0,"",(100*(D29-0.7*F29))/(2.8*A29+1.18*B29+0.65*C29))</f>
        <v>91.664471504681615</v>
      </c>
      <c r="M29" s="148">
        <f>+IF(A29=0,"",A29/(B29+C29))</f>
        <v>2.390626450116009</v>
      </c>
      <c r="N29" s="149">
        <f>IF(B29=0,"",B29/C29)</f>
        <v>0.95766715116279089</v>
      </c>
      <c r="O29" s="182">
        <f>IF(A29=0,"",4.07*(D29)-7.6*A29-6.72*B29-1.43*C29-2.85*F29)</f>
        <v>55.475699999999975</v>
      </c>
      <c r="P29" s="117">
        <f>IF(A29=0,"",2.87*A29-0.754*O29)</f>
        <v>19.778263866666684</v>
      </c>
      <c r="Q29" s="117">
        <f>IF(B29=0,"",2.65*B29-1.69*C29)</f>
        <v>3.8886583333333364</v>
      </c>
      <c r="R29" s="118">
        <f>IF(C29=0,"",3.04*C29)</f>
        <v>13.943466666666668</v>
      </c>
      <c r="S29" s="115">
        <f t="shared" ref="S29:S35" si="2">R29+2*Q29</f>
        <v>21.72078333333334</v>
      </c>
      <c r="T29" s="115">
        <f>IF(Q29="","",(1.13*Q29)+(1.35*R29)+E29+I29)</f>
        <v>27.829538916666674</v>
      </c>
      <c r="U29" s="191">
        <v>1232</v>
      </c>
      <c r="V29" s="194"/>
      <c r="W29" s="195"/>
      <c r="X29" s="202"/>
      <c r="Y29" s="202"/>
      <c r="Z29" s="203"/>
      <c r="AA29" s="195"/>
      <c r="AB29" s="195"/>
      <c r="AC29" s="204"/>
      <c r="AD29" s="192"/>
      <c r="AE29" s="199"/>
      <c r="AF29" s="208"/>
    </row>
    <row r="30" spans="1:33" ht="20.100000000000001" customHeight="1" x14ac:dyDescent="0.25">
      <c r="A30" s="210">
        <v>21.482499999999998</v>
      </c>
      <c r="B30" s="211">
        <v>4.3808333333333325</v>
      </c>
      <c r="C30" s="211">
        <v>4.5799999999999992</v>
      </c>
      <c r="D30" s="211">
        <v>63.216666666666669</v>
      </c>
      <c r="E30" s="211">
        <v>4.2141666666666664</v>
      </c>
      <c r="F30" s="211">
        <v>0.95000000000000018</v>
      </c>
      <c r="G30" s="211">
        <v>0.13750000000000004</v>
      </c>
      <c r="H30" s="211">
        <v>0.46083333333333326</v>
      </c>
      <c r="I30" s="148">
        <f t="shared" si="1"/>
        <v>0.44072833333333339</v>
      </c>
      <c r="J30" s="181">
        <v>0.02</v>
      </c>
      <c r="K30" s="118">
        <v>1.75</v>
      </c>
      <c r="L30" s="116">
        <f>IF(A30=0,"",(100*(D30-0.7*F30))/(2.8*A30+1.18*B30+0.65*C30))</f>
        <v>91.587208197092963</v>
      </c>
      <c r="M30" s="148">
        <f>+IF(A30=0,"",A30/(B30+C30))</f>
        <v>2.3973774760531947</v>
      </c>
      <c r="N30" s="149">
        <f>IF(B30=0,"",B30/C30)</f>
        <v>0.956513828238719</v>
      </c>
      <c r="O30" s="182">
        <f>IF(A30=0,"",4.07*(D30)-7.6*A30-6.72*B30-1.43*C30-2.85*F30)</f>
        <v>55.328733333333417</v>
      </c>
      <c r="P30" s="117">
        <f>IF(A30=0,"",2.87*A30-0.754*O30)</f>
        <v>19.936910066666599</v>
      </c>
      <c r="Q30" s="117">
        <f>IF(B30=0,"",2.65*B30-1.69*C30)</f>
        <v>3.8690083333333334</v>
      </c>
      <c r="R30" s="118">
        <f>IF(C30=0,"",3.04*C30)</f>
        <v>13.923199999999998</v>
      </c>
      <c r="S30" s="115">
        <f t="shared" si="2"/>
        <v>21.661216666666665</v>
      </c>
      <c r="T30" s="115">
        <f>IF(Q30="","",(1.13*Q30)+(1.35*R30)+E30+I30)</f>
        <v>27.823194416666663</v>
      </c>
      <c r="U30" s="191">
        <v>1218</v>
      </c>
      <c r="V30" s="194"/>
      <c r="W30" s="195"/>
      <c r="X30" s="202"/>
      <c r="Y30" s="202"/>
      <c r="Z30" s="203"/>
      <c r="AA30" s="195"/>
      <c r="AB30" s="195"/>
      <c r="AC30" s="204"/>
      <c r="AD30" s="192"/>
      <c r="AE30" s="199"/>
      <c r="AF30" s="212"/>
      <c r="AG30" s="213"/>
    </row>
    <row r="31" spans="1:33" ht="20.100000000000001" customHeight="1" x14ac:dyDescent="0.25">
      <c r="A31" s="210">
        <v>21.454166666666669</v>
      </c>
      <c r="B31" s="211">
        <v>4.3425000000000002</v>
      </c>
      <c r="C31" s="211">
        <v>4.6016666666666666</v>
      </c>
      <c r="D31" s="211">
        <v>63.123416666666664</v>
      </c>
      <c r="E31" s="211">
        <v>4.2808333333333328</v>
      </c>
      <c r="F31" s="211">
        <v>0.91583333333333339</v>
      </c>
      <c r="G31" s="211">
        <v>0.13500000000000001</v>
      </c>
      <c r="H31" s="211">
        <v>0.4458333333333333</v>
      </c>
      <c r="I31" s="148">
        <f t="shared" si="1"/>
        <v>0.42835833333333334</v>
      </c>
      <c r="J31" s="181">
        <v>0.02</v>
      </c>
      <c r="K31" s="118">
        <v>1.69</v>
      </c>
      <c r="L31" s="116">
        <f>IF(A31=0,"",(100*(D31-0.7*F31))/(2.8*A31+1.18*B31+0.65*C31))</f>
        <v>91.633925773621201</v>
      </c>
      <c r="M31" s="148">
        <f>+IF(A31=0,"",A31/(B31+C31))</f>
        <v>2.3986769775458865</v>
      </c>
      <c r="N31" s="149">
        <f>IF(B31=0,"",B31/C31)</f>
        <v>0.94367982614994572</v>
      </c>
      <c r="O31" s="182">
        <f>IF(A31=0,"",4.07*(D31)-7.6*A31-6.72*B31-1.43*C31-2.85*F31)</f>
        <v>55.488530833333328</v>
      </c>
      <c r="P31" s="117">
        <f>IF(A31=0,"",2.87*A31-0.754*O31)</f>
        <v>19.735106085000012</v>
      </c>
      <c r="Q31" s="117">
        <f>IF(B31=0,"",2.65*B31-1.69*C31)</f>
        <v>3.7308083333333348</v>
      </c>
      <c r="R31" s="118">
        <f>IF(C31=0,"",3.04*C31)</f>
        <v>13.989066666666666</v>
      </c>
      <c r="S31" s="115">
        <f t="shared" si="2"/>
        <v>21.450683333333338</v>
      </c>
      <c r="T31" s="115">
        <f>IF(Q31="","",(1.13*Q31)+(1.35*R31)+E31+I31)</f>
        <v>27.810245083333331</v>
      </c>
      <c r="U31" s="191">
        <v>1196</v>
      </c>
      <c r="V31" s="194"/>
      <c r="W31" s="214"/>
      <c r="X31" s="202"/>
      <c r="Y31" s="202"/>
      <c r="Z31" s="201"/>
      <c r="AA31" s="195"/>
      <c r="AB31" s="195"/>
      <c r="AC31" s="199"/>
      <c r="AD31" s="199"/>
      <c r="AE31" s="199"/>
      <c r="AF31" s="208"/>
    </row>
    <row r="32" spans="1:33" ht="19.5" customHeight="1" x14ac:dyDescent="0.25">
      <c r="A32" s="210">
        <v>21.37166666666667</v>
      </c>
      <c r="B32" s="211">
        <v>4.3975</v>
      </c>
      <c r="C32" s="211">
        <v>4.597083333333333</v>
      </c>
      <c r="D32" s="211">
        <v>63.245833333333337</v>
      </c>
      <c r="E32" s="211">
        <v>4.1825000000000001</v>
      </c>
      <c r="F32" s="211">
        <v>0.97333333333333327</v>
      </c>
      <c r="G32" s="211">
        <v>0.13583333333333336</v>
      </c>
      <c r="H32" s="211">
        <v>0.46500000000000002</v>
      </c>
      <c r="I32" s="148">
        <f t="shared" si="1"/>
        <v>0.44180333333333338</v>
      </c>
      <c r="J32" s="181">
        <v>0.02</v>
      </c>
      <c r="K32" s="118">
        <v>1.75</v>
      </c>
      <c r="L32" s="116">
        <f>IF(A32=0,"",(100*(D32-0.7*F32))/(2.8*A32+1.18*B32+0.65*C32))</f>
        <v>91.982511691023106</v>
      </c>
      <c r="M32" s="148">
        <f>+IF(A32=0,"",A32/(B32+C32))</f>
        <v>2.3760596655394455</v>
      </c>
      <c r="N32" s="149">
        <f>IF(B32=0,"",B32/C32)</f>
        <v>0.95658479108130157</v>
      </c>
      <c r="O32" s="182">
        <f>IF(A32=0,"",4.07*(D32)-7.6*A32-6.72*B32-1.43*C32-2.85*F32)</f>
        <v>56.086845833333328</v>
      </c>
      <c r="P32" s="117">
        <f>IF(A32=0,"",2.87*A32-0.754*O32)</f>
        <v>19.047201575000017</v>
      </c>
      <c r="Q32" s="117">
        <f>IF(B32=0,"",2.65*B32-1.69*C32)</f>
        <v>3.8843041666666664</v>
      </c>
      <c r="R32" s="118">
        <f>IF(C32=0,"",3.04*C32)</f>
        <v>13.975133333333332</v>
      </c>
      <c r="S32" s="115">
        <f t="shared" si="2"/>
        <v>21.743741666666665</v>
      </c>
      <c r="T32" s="115">
        <f>IF(Q32="","",(1.13*Q32)+(1.35*R32)+E32+I32)</f>
        <v>27.879997041666666</v>
      </c>
      <c r="U32" s="191">
        <v>1172</v>
      </c>
      <c r="V32" s="194"/>
      <c r="W32" s="207"/>
      <c r="X32" s="202"/>
      <c r="Y32" s="202"/>
      <c r="Z32" s="201"/>
      <c r="AA32" s="195"/>
      <c r="AB32" s="195"/>
      <c r="AC32" s="199"/>
      <c r="AD32" s="199"/>
      <c r="AE32" s="199"/>
      <c r="AF32" s="215"/>
    </row>
    <row r="33" spans="1:34" ht="19.5" customHeight="1" x14ac:dyDescent="0.25">
      <c r="A33" s="116">
        <v>21.375833333333333</v>
      </c>
      <c r="B33" s="117">
        <v>4.415</v>
      </c>
      <c r="C33" s="117">
        <v>4.6800000000000006</v>
      </c>
      <c r="D33" s="117">
        <v>63.198333333333331</v>
      </c>
      <c r="E33" s="117">
        <v>4.125</v>
      </c>
      <c r="F33" s="117">
        <v>0.94000000000000006</v>
      </c>
      <c r="G33" s="117">
        <v>0.13666666666666669</v>
      </c>
      <c r="H33" s="117">
        <v>0.47250000000000014</v>
      </c>
      <c r="I33" s="148">
        <f t="shared" si="1"/>
        <v>0.44757166666666681</v>
      </c>
      <c r="J33" s="181">
        <v>0.02</v>
      </c>
      <c r="K33" s="118">
        <v>2.04</v>
      </c>
      <c r="L33" s="116">
        <f>IF(A33=0,"",(100*(D33-0.7*F33))/(2.8*A33+1.18*B33+0.65*C33))</f>
        <v>91.830586636816903</v>
      </c>
      <c r="M33" s="148">
        <f>+IF(A33=0,"",A33/(B33+C33))</f>
        <v>2.3502840388491841</v>
      </c>
      <c r="N33" s="149">
        <f>IF(B33=0,"",B33/C33)</f>
        <v>0.94337606837606824</v>
      </c>
      <c r="O33" s="182">
        <f>IF(A33=0,"",4.07*(D33)-7.6*A33-6.72*B33-1.43*C33-2.85*F33)</f>
        <v>55.720683333333334</v>
      </c>
      <c r="P33" s="117">
        <f>IF(A33=0,"",2.87*A33-0.754*O33)</f>
        <v>19.335246433333332</v>
      </c>
      <c r="Q33" s="117">
        <f>IF(B33=0,"",2.65*B33-1.69*C33)</f>
        <v>3.7905499999999988</v>
      </c>
      <c r="R33" s="118">
        <f>IF(C33=0,"",3.04*C33)</f>
        <v>14.227200000000002</v>
      </c>
      <c r="S33" s="115">
        <f t="shared" si="2"/>
        <v>21.808299999999999</v>
      </c>
      <c r="T33" s="115">
        <f>IF(Q33="","",(1.13*Q33)+(1.35*R33)+E33+I33)</f>
        <v>28.062613166666672</v>
      </c>
      <c r="U33" s="191">
        <v>1171</v>
      </c>
      <c r="V33" s="216"/>
      <c r="W33" s="217"/>
      <c r="X33" s="218"/>
      <c r="Y33" s="218"/>
      <c r="Z33" s="219"/>
      <c r="AA33" s="220"/>
      <c r="AB33" s="220"/>
      <c r="AC33" s="221"/>
      <c r="AD33" s="221"/>
      <c r="AE33" s="221"/>
      <c r="AF33" s="222"/>
      <c r="AH33" s="174" t="s">
        <v>34</v>
      </c>
    </row>
    <row r="34" spans="1:34" ht="20.100000000000001" customHeight="1" x14ac:dyDescent="0.25">
      <c r="A34" s="210">
        <v>21.370833333333334</v>
      </c>
      <c r="B34" s="211">
        <v>4.4449999999999994</v>
      </c>
      <c r="C34" s="211">
        <v>4.7424999999999997</v>
      </c>
      <c r="D34" s="211">
        <v>63.141666666666673</v>
      </c>
      <c r="E34" s="211">
        <v>4.2433333333333341</v>
      </c>
      <c r="F34" s="211">
        <v>0.90916666666666668</v>
      </c>
      <c r="G34" s="211">
        <v>0.13416666666666666</v>
      </c>
      <c r="H34" s="211">
        <v>0.46249999999999997</v>
      </c>
      <c r="I34" s="148">
        <f t="shared" si="1"/>
        <v>0.43849166666666667</v>
      </c>
      <c r="J34" s="181">
        <v>0.02</v>
      </c>
      <c r="K34" s="118">
        <v>1.73</v>
      </c>
      <c r="L34" s="116">
        <f>IF(A34=0,"",(100*(D34-0.7*F34))/(2.8*A34+1.18*B34+0.65*C34))</f>
        <v>91.695561586307576</v>
      </c>
      <c r="M34" s="148">
        <f>+IF(A34=0,"",A34/(B34+C34))</f>
        <v>2.326077097505669</v>
      </c>
      <c r="N34" s="149">
        <f>IF(B34=0,"",B34/C34)</f>
        <v>0.9372693726937269</v>
      </c>
      <c r="O34" s="182">
        <f>IF(A34=0,"",4.07*(D34)-7.6*A34-6.72*B34-1.43*C34-2.85*F34)</f>
        <v>55.324950000000079</v>
      </c>
      <c r="P34" s="117">
        <f>IF(A34=0,"",2.87*A34-0.754*O34)</f>
        <v>19.619279366666611</v>
      </c>
      <c r="Q34" s="117">
        <f>IF(B34=0,"",2.65*B34-1.69*C34)</f>
        <v>3.7644249999999975</v>
      </c>
      <c r="R34" s="118">
        <f>IF(C34=0,"",3.04*C34)</f>
        <v>14.417199999999999</v>
      </c>
      <c r="S34" s="115">
        <f t="shared" si="2"/>
        <v>21.946049999999993</v>
      </c>
      <c r="T34" s="115">
        <f>IF(Q34="","",(1.13*Q34)+(1.35*R34)+E34+I34)</f>
        <v>28.398845249999997</v>
      </c>
      <c r="U34" s="223">
        <v>1140</v>
      </c>
      <c r="V34" s="194"/>
      <c r="W34" s="214"/>
      <c r="X34" s="202"/>
      <c r="Y34" s="202"/>
      <c r="Z34" s="201"/>
      <c r="AA34" s="195"/>
      <c r="AB34" s="195"/>
      <c r="AC34" s="199"/>
      <c r="AD34" s="199"/>
      <c r="AE34" s="199"/>
      <c r="AF34" s="208"/>
    </row>
    <row r="35" spans="1:34" ht="19.5" customHeight="1" x14ac:dyDescent="0.25">
      <c r="A35" s="210">
        <v>21.433333333333334</v>
      </c>
      <c r="B35" s="211">
        <v>4.4616666666666669</v>
      </c>
      <c r="C35" s="211">
        <v>4.6349999999999989</v>
      </c>
      <c r="D35" s="211">
        <v>63.164999999999999</v>
      </c>
      <c r="E35" s="211">
        <v>4.234166666666666</v>
      </c>
      <c r="F35" s="211">
        <v>0.82833333333333348</v>
      </c>
      <c r="G35" s="211">
        <v>0.13249999999999998</v>
      </c>
      <c r="H35" s="211">
        <v>0.42916666666666675</v>
      </c>
      <c r="I35" s="148">
        <f t="shared" si="1"/>
        <v>0.41489166666666677</v>
      </c>
      <c r="J35" s="181">
        <v>0.02</v>
      </c>
      <c r="K35" s="118">
        <v>1.71</v>
      </c>
      <c r="L35" s="116">
        <f>IF(A35=0,"",(100*(D35-0.7*F35))/(2.8*A35+1.18*B35+0.65*C35))</f>
        <v>91.645025163205133</v>
      </c>
      <c r="M35" s="148">
        <f>+IF(A35=0,"",A35/(B35+C35))</f>
        <v>2.3561744228655188</v>
      </c>
      <c r="N35" s="149">
        <f>IF(B35=0,"",B35/C35)</f>
        <v>0.96260338007910851</v>
      </c>
      <c r="O35" s="182">
        <f>IF(A35=0,"",4.07*(D35)-7.6*A35-6.72*B35-1.43*C35-2.85*F35)</f>
        <v>55.217016666666673</v>
      </c>
      <c r="P35" s="117">
        <f>IF(A35=0,"",2.87*A35-0.754*O35)</f>
        <v>19.880036099999998</v>
      </c>
      <c r="Q35" s="117">
        <f>IF(B35=0,"",2.65*B35-1.69*C35)</f>
        <v>3.9902666666666686</v>
      </c>
      <c r="R35" s="118">
        <f>IF(C35=0,"",3.04*C35)</f>
        <v>14.090399999999997</v>
      </c>
      <c r="S35" s="115">
        <f t="shared" si="2"/>
        <v>22.070933333333336</v>
      </c>
      <c r="T35" s="115">
        <f>IF(Q35="","",(1.13*Q35)+(1.35*R35)+E35+I35)</f>
        <v>28.180099666666663</v>
      </c>
      <c r="U35" s="191">
        <v>1255</v>
      </c>
      <c r="V35" s="194"/>
      <c r="W35" s="207"/>
      <c r="X35" s="202"/>
      <c r="Y35" s="202"/>
      <c r="Z35" s="201"/>
      <c r="AA35" s="195"/>
      <c r="AB35" s="195"/>
      <c r="AC35" s="199"/>
      <c r="AD35" s="199"/>
      <c r="AE35" s="199"/>
      <c r="AF35" s="215"/>
    </row>
    <row r="36" spans="1:34" ht="19.5" customHeight="1" thickBot="1" x14ac:dyDescent="0.3">
      <c r="A36" s="210">
        <v>21.445000000000004</v>
      </c>
      <c r="B36" s="211">
        <v>4.4258333333333333</v>
      </c>
      <c r="C36" s="211">
        <v>4.6358333333333333</v>
      </c>
      <c r="D36" s="211">
        <v>63.244999999999997</v>
      </c>
      <c r="E36" s="211">
        <v>4.1133333333333333</v>
      </c>
      <c r="F36" s="211">
        <v>0.87583333333333335</v>
      </c>
      <c r="G36" s="211">
        <v>0.12999999999999998</v>
      </c>
      <c r="H36" s="211">
        <v>0.42250000000000004</v>
      </c>
      <c r="I36" s="148">
        <f t="shared" si="1"/>
        <v>0.40800500000000006</v>
      </c>
      <c r="J36" s="181">
        <v>0.02</v>
      </c>
      <c r="K36" s="118">
        <v>1.76</v>
      </c>
      <c r="L36" s="116">
        <f>IF(A36=0,"",(100*(D36-0.7*F36))/(2.8*A36+1.18*B36+0.65*C36))</f>
        <v>91.725671552426206</v>
      </c>
      <c r="M36" s="148">
        <f>+IF(A36=0,"",A36/(B36+C36))</f>
        <v>2.3665624425234508</v>
      </c>
      <c r="N36" s="149">
        <f>IF(B36=0,"",B36/C36)</f>
        <v>0.9547007010605788</v>
      </c>
      <c r="O36" s="182">
        <f>IF(A36=0,"",4.07*(D36)-7.6*A36-6.72*B36-1.43*C36-2.85*F36)</f>
        <v>55.558183333333304</v>
      </c>
      <c r="P36" s="117">
        <f>IF(A36=0,"",2.87*A36-0.754*O36)</f>
        <v>19.656279766666707</v>
      </c>
      <c r="Q36" s="117">
        <f>IF(B36=0,"",2.65*B36-1.69*C36)</f>
        <v>3.8938999999999995</v>
      </c>
      <c r="R36" s="118">
        <f>IF(C36=0,"",3.04*C36)</f>
        <v>14.092933333333333</v>
      </c>
      <c r="S36" s="115">
        <f>R36+2*Q36</f>
        <v>21.880733333333332</v>
      </c>
      <c r="T36" s="115">
        <f>IF(Q36="","",(1.13*Q36)+(1.35*R36)+E36+I36)</f>
        <v>27.94690533333333</v>
      </c>
      <c r="U36" s="224">
        <v>1219</v>
      </c>
      <c r="V36" s="216"/>
      <c r="W36" s="217"/>
      <c r="X36" s="218"/>
      <c r="Y36" s="218"/>
      <c r="Z36" s="219"/>
      <c r="AA36" s="220"/>
      <c r="AB36" s="220"/>
      <c r="AC36" s="221"/>
      <c r="AD36" s="221"/>
      <c r="AE36" s="221"/>
      <c r="AF36" s="222"/>
    </row>
    <row r="37" spans="1:34" ht="14.4" thickTop="1" x14ac:dyDescent="0.25">
      <c r="A37" s="225"/>
      <c r="B37" s="225"/>
      <c r="C37" s="225"/>
      <c r="D37" s="225"/>
      <c r="E37" s="225"/>
      <c r="F37" s="226"/>
      <c r="G37" s="225"/>
      <c r="H37" s="225"/>
      <c r="J37" s="225"/>
      <c r="K37" s="225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6"/>
      <c r="W37" s="227"/>
      <c r="X37" s="228"/>
      <c r="Y37" s="225"/>
      <c r="Z37" s="229"/>
      <c r="AA37" s="230"/>
      <c r="AB37" s="230"/>
      <c r="AC37" s="231"/>
      <c r="AD37" s="231"/>
      <c r="AE37" s="231"/>
      <c r="AF37" s="232"/>
    </row>
    <row r="38" spans="1:34" x14ac:dyDescent="0.25">
      <c r="J38" s="213"/>
      <c r="K38" s="233"/>
    </row>
  </sheetData>
  <mergeCells count="31">
    <mergeCell ref="Y4:Z4"/>
    <mergeCell ref="AA4:AB4"/>
    <mergeCell ref="AC4:AE4"/>
    <mergeCell ref="R4:R5"/>
    <mergeCell ref="S4:S5"/>
    <mergeCell ref="T4:T5"/>
    <mergeCell ref="V4:V5"/>
    <mergeCell ref="W4:W5"/>
    <mergeCell ref="X4:X5"/>
    <mergeCell ref="L4:L5"/>
    <mergeCell ref="M4:M5"/>
    <mergeCell ref="N4:N5"/>
    <mergeCell ref="O4:O5"/>
    <mergeCell ref="P4:P5"/>
    <mergeCell ref="Q4:Q5"/>
    <mergeCell ref="F4:F5"/>
    <mergeCell ref="G4:G5"/>
    <mergeCell ref="H4:H5"/>
    <mergeCell ref="I4:I5"/>
    <mergeCell ref="J4:J5"/>
    <mergeCell ref="K4:K5"/>
    <mergeCell ref="T1:U1"/>
    <mergeCell ref="A2:U2"/>
    <mergeCell ref="A3:U3"/>
    <mergeCell ref="U4:U5"/>
    <mergeCell ref="AF4:AF5"/>
    <mergeCell ref="A4:A5"/>
    <mergeCell ref="B4:B5"/>
    <mergeCell ref="C4:C5"/>
    <mergeCell ref="D4:D5"/>
    <mergeCell ref="E4:E5"/>
  </mergeCells>
  <printOptions horizontalCentered="1"/>
  <pageMargins left="0" right="0" top="0.5" bottom="0.5" header="0.3" footer="0.3"/>
  <pageSetup paperSize="9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3"/>
  <sheetViews>
    <sheetView topLeftCell="A3" zoomScale="90" zoomScaleNormal="90" workbookViewId="0">
      <pane xSplit="1" ySplit="4" topLeftCell="B7" activePane="bottomRight" state="frozen"/>
      <selection activeCell="D31" sqref="D31"/>
      <selection pane="topRight" activeCell="D31" sqref="D31"/>
      <selection pane="bottomLeft" activeCell="D31" sqref="D31"/>
      <selection pane="bottomRight" activeCell="A8" sqref="A8"/>
    </sheetView>
  </sheetViews>
  <sheetFormatPr defaultColWidth="9.109375" defaultRowHeight="13.2" x14ac:dyDescent="0.25"/>
  <cols>
    <col min="1" max="1" width="10.44140625" style="19" customWidth="1"/>
    <col min="2" max="5" width="7.6640625" style="19" customWidth="1"/>
    <col min="6" max="6" width="6.88671875" style="19" customWidth="1"/>
    <col min="7" max="9" width="7.6640625" style="19" customWidth="1"/>
    <col min="10" max="10" width="9.5546875" style="19" customWidth="1"/>
    <col min="11" max="12" width="7.6640625" style="19" customWidth="1"/>
    <col min="13" max="13" width="8.5546875" style="19" customWidth="1"/>
    <col min="14" max="15" width="7.6640625" style="19" customWidth="1"/>
    <col min="16" max="16" width="8.88671875" style="19" customWidth="1"/>
    <col min="17" max="20" width="7.6640625" style="19" customWidth="1"/>
    <col min="21" max="21" width="10" style="19" hidden="1" customWidth="1"/>
    <col min="22" max="22" width="11.33203125" style="19" hidden="1" customWidth="1"/>
    <col min="23" max="23" width="8.88671875" style="19" hidden="1" customWidth="1"/>
    <col min="24" max="24" width="6.6640625" style="19" hidden="1" customWidth="1"/>
    <col min="25" max="25" width="9.5546875" style="19" hidden="1" customWidth="1"/>
    <col min="26" max="26" width="9.109375" style="19" hidden="1" customWidth="1"/>
    <col min="27" max="30" width="8.6640625" style="19" hidden="1" customWidth="1"/>
    <col min="31" max="31" width="9.6640625" style="19" hidden="1" customWidth="1"/>
    <col min="32" max="32" width="5.88671875" style="19" hidden="1" customWidth="1"/>
    <col min="33" max="33" width="9.33203125" style="19" customWidth="1"/>
    <col min="34" max="34" width="0.88671875" style="19" customWidth="1"/>
    <col min="35" max="35" width="8" style="94" customWidth="1"/>
    <col min="36" max="16384" width="9.109375" style="19"/>
  </cols>
  <sheetData>
    <row r="1" spans="1:35" ht="24.6" x14ac:dyDescent="0.4">
      <c r="A1" s="268" t="s">
        <v>26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I1" s="19"/>
    </row>
    <row r="2" spans="1:35" ht="17.399999999999999" x14ac:dyDescent="0.25">
      <c r="A2" s="269" t="s">
        <v>33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I2" s="19"/>
    </row>
    <row r="3" spans="1:35" ht="21" customHeight="1" thickBot="1" x14ac:dyDescent="0.3">
      <c r="A3" s="62"/>
      <c r="B3" s="62"/>
      <c r="C3" s="62"/>
      <c r="D3" s="62"/>
      <c r="E3" s="62"/>
      <c r="F3" s="62"/>
      <c r="G3" s="62"/>
      <c r="H3" s="62"/>
      <c r="I3" s="62"/>
      <c r="K3" s="62"/>
      <c r="L3" s="62"/>
      <c r="M3" s="62"/>
      <c r="N3" s="62"/>
      <c r="O3" s="62"/>
      <c r="P3" s="62"/>
      <c r="Q3" s="62"/>
      <c r="R3" s="270" t="s">
        <v>49</v>
      </c>
      <c r="S3" s="270"/>
      <c r="T3" s="270"/>
      <c r="U3" s="62"/>
      <c r="V3" s="62"/>
      <c r="W3" s="62"/>
      <c r="X3" s="62"/>
      <c r="Y3" s="62"/>
      <c r="Z3" s="62"/>
      <c r="AA3" s="62"/>
      <c r="AB3" s="63"/>
      <c r="AC3" s="62"/>
      <c r="AD3" s="271" t="s">
        <v>35</v>
      </c>
      <c r="AE3" s="271"/>
      <c r="AF3" s="271"/>
      <c r="AG3" s="62"/>
      <c r="AI3" s="19"/>
    </row>
    <row r="4" spans="1:35" ht="24" customHeight="1" x14ac:dyDescent="0.25">
      <c r="A4" s="272" t="s">
        <v>5</v>
      </c>
      <c r="B4" s="275" t="s">
        <v>7</v>
      </c>
      <c r="C4" s="275"/>
      <c r="D4" s="275"/>
      <c r="E4" s="275"/>
      <c r="F4" s="275"/>
      <c r="G4" s="275"/>
      <c r="H4" s="275"/>
      <c r="I4" s="275"/>
      <c r="J4" s="275"/>
      <c r="K4" s="275"/>
      <c r="L4" s="276"/>
      <c r="M4" s="275" t="s">
        <v>28</v>
      </c>
      <c r="N4" s="275"/>
      <c r="O4" s="276"/>
      <c r="P4" s="300" t="s">
        <v>27</v>
      </c>
      <c r="Q4" s="301"/>
      <c r="R4" s="301"/>
      <c r="S4" s="301"/>
      <c r="T4" s="302"/>
      <c r="U4" s="306" t="s">
        <v>30</v>
      </c>
      <c r="V4" s="292" t="s">
        <v>4</v>
      </c>
      <c r="W4" s="292"/>
      <c r="X4" s="292"/>
      <c r="Y4" s="292"/>
      <c r="Z4" s="292"/>
      <c r="AA4" s="292"/>
      <c r="AB4" s="292"/>
      <c r="AC4" s="292"/>
      <c r="AD4" s="292"/>
      <c r="AE4" s="293"/>
      <c r="AF4" s="289" t="s">
        <v>22</v>
      </c>
      <c r="AG4" s="315" t="s">
        <v>36</v>
      </c>
      <c r="AI4" s="304" t="s">
        <v>32</v>
      </c>
    </row>
    <row r="5" spans="1:35" ht="30.75" customHeight="1" x14ac:dyDescent="0.25">
      <c r="A5" s="273"/>
      <c r="B5" s="283" t="s">
        <v>41</v>
      </c>
      <c r="C5" s="283" t="s">
        <v>42</v>
      </c>
      <c r="D5" s="283" t="s">
        <v>43</v>
      </c>
      <c r="E5" s="283" t="s">
        <v>0</v>
      </c>
      <c r="F5" s="283" t="s">
        <v>1</v>
      </c>
      <c r="G5" s="283" t="s">
        <v>44</v>
      </c>
      <c r="H5" s="283" t="s">
        <v>45</v>
      </c>
      <c r="I5" s="283" t="s">
        <v>46</v>
      </c>
      <c r="J5" s="294" t="s">
        <v>47</v>
      </c>
      <c r="K5" s="277" t="s">
        <v>29</v>
      </c>
      <c r="L5" s="279" t="s">
        <v>31</v>
      </c>
      <c r="M5" s="281" t="s">
        <v>2</v>
      </c>
      <c r="N5" s="283" t="s">
        <v>6</v>
      </c>
      <c r="O5" s="311" t="s">
        <v>3</v>
      </c>
      <c r="P5" s="313" t="s">
        <v>37</v>
      </c>
      <c r="Q5" s="309" t="s">
        <v>38</v>
      </c>
      <c r="R5" s="283" t="s">
        <v>39</v>
      </c>
      <c r="S5" s="311" t="s">
        <v>40</v>
      </c>
      <c r="T5" s="311" t="s">
        <v>32</v>
      </c>
      <c r="U5" s="307"/>
      <c r="V5" s="296" t="s">
        <v>21</v>
      </c>
      <c r="W5" s="298" t="s">
        <v>23</v>
      </c>
      <c r="X5" s="298" t="s">
        <v>24</v>
      </c>
      <c r="Y5" s="303" t="s">
        <v>8</v>
      </c>
      <c r="Z5" s="303"/>
      <c r="AA5" s="298" t="s">
        <v>9</v>
      </c>
      <c r="AB5" s="298"/>
      <c r="AC5" s="288" t="s">
        <v>25</v>
      </c>
      <c r="AD5" s="288"/>
      <c r="AE5" s="288"/>
      <c r="AF5" s="290"/>
      <c r="AG5" s="316"/>
      <c r="AI5" s="305"/>
    </row>
    <row r="6" spans="1:35" ht="46.5" customHeight="1" thickBot="1" x14ac:dyDescent="0.3">
      <c r="A6" s="274"/>
      <c r="B6" s="287"/>
      <c r="C6" s="287"/>
      <c r="D6" s="287"/>
      <c r="E6" s="287"/>
      <c r="F6" s="287"/>
      <c r="G6" s="287" t="s">
        <v>44</v>
      </c>
      <c r="H6" s="287"/>
      <c r="I6" s="287"/>
      <c r="J6" s="295"/>
      <c r="K6" s="278"/>
      <c r="L6" s="280"/>
      <c r="M6" s="282"/>
      <c r="N6" s="284"/>
      <c r="O6" s="312"/>
      <c r="P6" s="314"/>
      <c r="Q6" s="310"/>
      <c r="R6" s="284"/>
      <c r="S6" s="312"/>
      <c r="T6" s="312"/>
      <c r="U6" s="308"/>
      <c r="V6" s="297"/>
      <c r="W6" s="299"/>
      <c r="X6" s="299"/>
      <c r="Y6" s="66" t="s">
        <v>10</v>
      </c>
      <c r="Z6" s="66" t="s">
        <v>11</v>
      </c>
      <c r="AA6" s="65" t="s">
        <v>12</v>
      </c>
      <c r="AB6" s="65" t="s">
        <v>13</v>
      </c>
      <c r="AC6" s="64" t="s">
        <v>14</v>
      </c>
      <c r="AD6" s="64" t="s">
        <v>15</v>
      </c>
      <c r="AE6" s="64" t="s">
        <v>16</v>
      </c>
      <c r="AF6" s="291"/>
      <c r="AG6" s="317"/>
      <c r="AI6" s="305"/>
    </row>
    <row r="7" spans="1:35" ht="20.100000000000001" customHeight="1" thickTop="1" x14ac:dyDescent="0.25">
      <c r="A7" s="67">
        <v>42156</v>
      </c>
      <c r="B7" s="41"/>
      <c r="C7" s="41"/>
      <c r="D7" s="41"/>
      <c r="E7" s="41"/>
      <c r="F7" s="41"/>
      <c r="G7" s="41"/>
      <c r="H7" s="41"/>
      <c r="I7" s="41"/>
      <c r="J7" s="37" t="str">
        <f>IF(H7=0,"",(0.658*H7+I7))</f>
        <v/>
      </c>
      <c r="K7" s="48"/>
      <c r="L7" s="42"/>
      <c r="M7" s="49" t="str">
        <f>IF(B7=0,"",(100*(E7-0.7*G7))/(2.8*B7+1.18*C7+0.65*D7))</f>
        <v/>
      </c>
      <c r="N7" s="36" t="str">
        <f>+IF(B7=0,"",B7/(C7+D7))</f>
        <v/>
      </c>
      <c r="O7" s="39" t="str">
        <f>IF(C7=0,"",C7/D7)</f>
        <v/>
      </c>
      <c r="P7" s="44" t="str">
        <f>IF(B7=0,"",4.07*(E7)-7.6*B7-6.72*C7-1.43*D7-2.85*G7)</f>
        <v/>
      </c>
      <c r="Q7" s="41" t="str">
        <f t="shared" ref="Q7:Q34" si="0">IF(B7=0,"",2.87*B7-0.754*P7)</f>
        <v/>
      </c>
      <c r="R7" s="36" t="str">
        <f>IF(C7=0,"",2.65*C7-1.69*D7)</f>
        <v/>
      </c>
      <c r="S7" s="39" t="str">
        <f>IF(D7=0,"",3.04*D7)</f>
        <v/>
      </c>
      <c r="T7" s="45" t="str">
        <f>IF(R7="","",(1.13*R7)+(1.35*S7)+F7+J7)</f>
        <v/>
      </c>
      <c r="U7" s="52"/>
      <c r="V7" s="26"/>
      <c r="W7" s="5"/>
      <c r="X7" s="3"/>
      <c r="Y7" s="3"/>
      <c r="Z7" s="13"/>
      <c r="AA7" s="6"/>
      <c r="AB7" s="6"/>
      <c r="AC7" s="24"/>
      <c r="AD7" s="24"/>
      <c r="AE7" s="24"/>
      <c r="AF7" s="34"/>
      <c r="AG7" s="55" t="str">
        <f>IF(E7=0,"",4.07*(E7-L7)-7.6*B7-6.72*C7-1.43*D7)</f>
        <v/>
      </c>
      <c r="AI7" s="76" t="str">
        <f>IF(C7="","",2.95*C7+2.2*D7+F7+H7+I7)</f>
        <v/>
      </c>
    </row>
    <row r="8" spans="1:35" ht="20.100000000000001" customHeight="1" x14ac:dyDescent="0.25">
      <c r="A8" s="68">
        <f>A7+1</f>
        <v>42157</v>
      </c>
      <c r="B8" s="41"/>
      <c r="C8" s="41"/>
      <c r="D8" s="41"/>
      <c r="E8" s="41"/>
      <c r="F8" s="41"/>
      <c r="G8" s="41"/>
      <c r="H8" s="41"/>
      <c r="I8" s="41"/>
      <c r="J8" s="37" t="str">
        <f>IF(H8=0,"",(0.658*H8+I8))</f>
        <v/>
      </c>
      <c r="K8" s="48"/>
      <c r="L8" s="42"/>
      <c r="M8" s="40" t="str">
        <f t="shared" ref="M8:M34" si="1">IF(B8=0,"",(100*(E8-0.7*G8))/(2.8*B8+1.18*C8+0.65*D8))</f>
        <v/>
      </c>
      <c r="N8" s="37" t="str">
        <f t="shared" ref="N8:N34" si="2">+IF(B8=0,"",B8/(C8+D8))</f>
        <v/>
      </c>
      <c r="O8" s="38" t="str">
        <f t="shared" ref="O8:O34" si="3">IF(C8=0,"",C8/D8)</f>
        <v/>
      </c>
      <c r="P8" s="44" t="str">
        <f>IF(B8=0,"",4.07*(E8)-7.6*B8-6.72*C8-1.43*D8-2.85*G8)</f>
        <v/>
      </c>
      <c r="Q8" s="41" t="str">
        <f t="shared" si="0"/>
        <v/>
      </c>
      <c r="R8" s="41" t="str">
        <f t="shared" ref="R8:R34" si="4">IF(C8=0,"",2.65*C8-1.69*D8)</f>
        <v/>
      </c>
      <c r="S8" s="42" t="str">
        <f>IF(D8=0,"",3.04*D8)</f>
        <v/>
      </c>
      <c r="T8" s="45" t="str">
        <f>IF(R8="","",(1.13*R8)+(1.35*S8)+F8+J8)</f>
        <v/>
      </c>
      <c r="U8" s="52"/>
      <c r="V8" s="26"/>
      <c r="W8" s="5"/>
      <c r="X8" s="3"/>
      <c r="Y8" s="3"/>
      <c r="Z8" s="13"/>
      <c r="AA8" s="6"/>
      <c r="AB8" s="6"/>
      <c r="AC8" s="24"/>
      <c r="AD8" s="24"/>
      <c r="AE8" s="17"/>
      <c r="AF8" s="35"/>
      <c r="AG8" s="54" t="str">
        <f>IF(E8=0,"",4.07*(E8-L8)-7.6*B8-6.72*C8-1.43*D8)</f>
        <v/>
      </c>
      <c r="AI8" s="51" t="str">
        <f t="shared" ref="AI8:AI37" si="5">IF(Q8="","",2.95*C8+2.2*D8+F8+H8+I8)</f>
        <v/>
      </c>
    </row>
    <row r="9" spans="1:35" ht="20.100000000000001" customHeight="1" x14ac:dyDescent="0.25">
      <c r="A9" s="68">
        <f t="shared" ref="A9:A37" si="6">A8+1</f>
        <v>42158</v>
      </c>
      <c r="B9" s="41"/>
      <c r="C9" s="41"/>
      <c r="D9" s="41"/>
      <c r="E9" s="41"/>
      <c r="F9" s="41"/>
      <c r="G9" s="41"/>
      <c r="H9" s="41"/>
      <c r="I9" s="41"/>
      <c r="J9" s="37" t="str">
        <f t="shared" ref="J9:J37" si="7">IF(H9=0,"",(0.658*H9+I9))</f>
        <v/>
      </c>
      <c r="K9" s="48"/>
      <c r="L9" s="42"/>
      <c r="M9" s="40" t="str">
        <f t="shared" si="1"/>
        <v/>
      </c>
      <c r="N9" s="37" t="str">
        <f t="shared" si="2"/>
        <v/>
      </c>
      <c r="O9" s="38" t="str">
        <f t="shared" si="3"/>
        <v/>
      </c>
      <c r="P9" s="44" t="str">
        <f t="shared" ref="P9:P37" si="8">IF(B9=0,"",4.07*(E9)-7.6*B9-6.72*C9-1.43*D9-2.85*G9)</f>
        <v/>
      </c>
      <c r="Q9" s="41" t="str">
        <f t="shared" si="0"/>
        <v/>
      </c>
      <c r="R9" s="41" t="str">
        <f t="shared" si="4"/>
        <v/>
      </c>
      <c r="S9" s="42" t="str">
        <f t="shared" ref="S9:S34" si="9">IF(D9=0,"",3.04*D9)</f>
        <v/>
      </c>
      <c r="T9" s="45" t="str">
        <f t="shared" ref="T9:T37" si="10">IF(R9="","",(1.13*R9)+(1.35*S9)+F9+J9)</f>
        <v/>
      </c>
      <c r="U9" s="52"/>
      <c r="V9" s="23" t="s">
        <v>34</v>
      </c>
      <c r="W9" s="7"/>
      <c r="X9" s="9"/>
      <c r="Y9" s="9"/>
      <c r="Z9" s="15"/>
      <c r="AA9" s="14"/>
      <c r="AB9" s="14"/>
      <c r="AC9" s="24"/>
      <c r="AD9" s="24"/>
      <c r="AE9" s="2"/>
      <c r="AF9" s="35"/>
      <c r="AG9" s="54" t="str">
        <f t="shared" ref="AG9:AG37" si="11">IF(E9=0,"",4.07*(E9-L9)-7.6*B9-6.72*C9-1.43*D9)</f>
        <v/>
      </c>
      <c r="AI9" s="51" t="str">
        <f t="shared" si="5"/>
        <v/>
      </c>
    </row>
    <row r="10" spans="1:35" ht="20.100000000000001" customHeight="1" x14ac:dyDescent="0.25">
      <c r="A10" s="68">
        <f t="shared" si="6"/>
        <v>42159</v>
      </c>
      <c r="B10" s="41"/>
      <c r="C10" s="41"/>
      <c r="D10" s="41"/>
      <c r="E10" s="41"/>
      <c r="F10" s="41"/>
      <c r="G10" s="41"/>
      <c r="H10" s="41"/>
      <c r="I10" s="41"/>
      <c r="J10" s="37" t="str">
        <f t="shared" si="7"/>
        <v/>
      </c>
      <c r="K10" s="48"/>
      <c r="L10" s="42"/>
      <c r="M10" s="40" t="str">
        <f t="shared" si="1"/>
        <v/>
      </c>
      <c r="N10" s="37" t="str">
        <f t="shared" si="2"/>
        <v/>
      </c>
      <c r="O10" s="38" t="str">
        <f t="shared" si="3"/>
        <v/>
      </c>
      <c r="P10" s="44" t="str">
        <f t="shared" si="8"/>
        <v/>
      </c>
      <c r="Q10" s="41" t="str">
        <f t="shared" si="0"/>
        <v/>
      </c>
      <c r="R10" s="41" t="str">
        <f t="shared" si="4"/>
        <v/>
      </c>
      <c r="S10" s="42" t="str">
        <f t="shared" si="9"/>
        <v/>
      </c>
      <c r="T10" s="45" t="str">
        <f t="shared" si="10"/>
        <v/>
      </c>
      <c r="U10" s="52"/>
      <c r="V10" s="23"/>
      <c r="W10" s="7"/>
      <c r="X10" s="9"/>
      <c r="Y10" s="9"/>
      <c r="Z10" s="15"/>
      <c r="AA10" s="14"/>
      <c r="AB10" s="14"/>
      <c r="AC10" s="24"/>
      <c r="AD10" s="24"/>
      <c r="AE10" s="16"/>
      <c r="AF10" s="35"/>
      <c r="AG10" s="54" t="str">
        <f t="shared" si="11"/>
        <v/>
      </c>
      <c r="AI10" s="51" t="str">
        <f t="shared" si="5"/>
        <v/>
      </c>
    </row>
    <row r="11" spans="1:35" ht="20.100000000000001" customHeight="1" x14ac:dyDescent="0.25">
      <c r="A11" s="68">
        <f>A10+1</f>
        <v>42160</v>
      </c>
      <c r="B11" s="41"/>
      <c r="C11" s="41"/>
      <c r="D11" s="41"/>
      <c r="E11" s="41"/>
      <c r="F11" s="41"/>
      <c r="G11" s="41"/>
      <c r="H11" s="41"/>
      <c r="I11" s="41"/>
      <c r="J11" s="37" t="str">
        <f t="shared" si="7"/>
        <v/>
      </c>
      <c r="K11" s="48"/>
      <c r="L11" s="42"/>
      <c r="M11" s="40" t="str">
        <f t="shared" si="1"/>
        <v/>
      </c>
      <c r="N11" s="37" t="str">
        <f t="shared" si="2"/>
        <v/>
      </c>
      <c r="O11" s="38" t="str">
        <f t="shared" si="3"/>
        <v/>
      </c>
      <c r="P11" s="44" t="str">
        <f t="shared" si="8"/>
        <v/>
      </c>
      <c r="Q11" s="41" t="str">
        <f t="shared" si="0"/>
        <v/>
      </c>
      <c r="R11" s="41" t="str">
        <f t="shared" si="4"/>
        <v/>
      </c>
      <c r="S11" s="42" t="str">
        <f t="shared" si="9"/>
        <v/>
      </c>
      <c r="T11" s="45" t="str">
        <f t="shared" si="10"/>
        <v/>
      </c>
      <c r="U11" s="52"/>
      <c r="V11" s="23"/>
      <c r="W11" s="5"/>
      <c r="X11" s="9"/>
      <c r="Y11" s="9"/>
      <c r="Z11" s="15"/>
      <c r="AA11" s="14"/>
      <c r="AB11" s="14"/>
      <c r="AC11" s="24"/>
      <c r="AD11" s="24"/>
      <c r="AE11" s="16"/>
      <c r="AF11" s="35"/>
      <c r="AG11" s="54" t="str">
        <f t="shared" si="11"/>
        <v/>
      </c>
      <c r="AI11" s="51" t="str">
        <f t="shared" si="5"/>
        <v/>
      </c>
    </row>
    <row r="12" spans="1:35" ht="20.100000000000001" customHeight="1" x14ac:dyDescent="0.25">
      <c r="A12" s="68">
        <f t="shared" si="6"/>
        <v>42161</v>
      </c>
      <c r="B12" s="41"/>
      <c r="C12" s="41"/>
      <c r="D12" s="41"/>
      <c r="E12" s="41"/>
      <c r="F12" s="41"/>
      <c r="G12" s="41"/>
      <c r="H12" s="41"/>
      <c r="I12" s="41"/>
      <c r="J12" s="37" t="str">
        <f t="shared" si="7"/>
        <v/>
      </c>
      <c r="K12" s="48"/>
      <c r="L12" s="42"/>
      <c r="M12" s="40" t="str">
        <f t="shared" si="1"/>
        <v/>
      </c>
      <c r="N12" s="37" t="str">
        <f t="shared" si="2"/>
        <v/>
      </c>
      <c r="O12" s="38" t="str">
        <f t="shared" si="3"/>
        <v/>
      </c>
      <c r="P12" s="44" t="str">
        <f t="shared" si="8"/>
        <v/>
      </c>
      <c r="Q12" s="41" t="str">
        <f t="shared" si="0"/>
        <v/>
      </c>
      <c r="R12" s="41" t="str">
        <f t="shared" si="4"/>
        <v/>
      </c>
      <c r="S12" s="42" t="str">
        <f t="shared" si="9"/>
        <v/>
      </c>
      <c r="T12" s="45" t="str">
        <f t="shared" si="10"/>
        <v/>
      </c>
      <c r="U12" s="52"/>
      <c r="V12" s="26"/>
      <c r="W12" s="14"/>
      <c r="X12" s="9"/>
      <c r="Y12" s="9"/>
      <c r="Z12" s="15"/>
      <c r="AA12" s="14"/>
      <c r="AB12" s="14"/>
      <c r="AC12" s="24"/>
      <c r="AD12" s="24"/>
      <c r="AE12" s="2"/>
      <c r="AF12" s="35"/>
      <c r="AG12" s="54" t="str">
        <f t="shared" si="11"/>
        <v/>
      </c>
      <c r="AI12" s="51" t="str">
        <f t="shared" si="5"/>
        <v/>
      </c>
    </row>
    <row r="13" spans="1:35" ht="20.100000000000001" customHeight="1" x14ac:dyDescent="0.25">
      <c r="A13" s="68">
        <f t="shared" si="6"/>
        <v>42162</v>
      </c>
      <c r="B13" s="41"/>
      <c r="C13" s="41"/>
      <c r="D13" s="41"/>
      <c r="E13" s="41"/>
      <c r="F13" s="41"/>
      <c r="G13" s="41"/>
      <c r="H13" s="41"/>
      <c r="I13" s="41"/>
      <c r="J13" s="37" t="str">
        <f t="shared" si="7"/>
        <v/>
      </c>
      <c r="K13" s="48"/>
      <c r="L13" s="42"/>
      <c r="M13" s="40" t="str">
        <f t="shared" si="1"/>
        <v/>
      </c>
      <c r="N13" s="37" t="str">
        <f t="shared" si="2"/>
        <v/>
      </c>
      <c r="O13" s="38" t="str">
        <f t="shared" si="3"/>
        <v/>
      </c>
      <c r="P13" s="44" t="str">
        <f t="shared" si="8"/>
        <v/>
      </c>
      <c r="Q13" s="41" t="str">
        <f t="shared" si="0"/>
        <v/>
      </c>
      <c r="R13" s="41" t="str">
        <f t="shared" si="4"/>
        <v/>
      </c>
      <c r="S13" s="42" t="str">
        <f t="shared" si="9"/>
        <v/>
      </c>
      <c r="T13" s="45" t="str">
        <f t="shared" si="10"/>
        <v/>
      </c>
      <c r="U13" s="52"/>
      <c r="V13" s="26"/>
      <c r="W13" s="14"/>
      <c r="X13" s="9"/>
      <c r="Y13" s="9"/>
      <c r="Z13" s="15"/>
      <c r="AA13" s="14"/>
      <c r="AB13" s="14"/>
      <c r="AC13" s="24"/>
      <c r="AD13" s="24"/>
      <c r="AE13" s="2"/>
      <c r="AF13" s="35"/>
      <c r="AG13" s="54" t="str">
        <f t="shared" si="11"/>
        <v/>
      </c>
      <c r="AI13" s="51" t="str">
        <f t="shared" si="5"/>
        <v/>
      </c>
    </row>
    <row r="14" spans="1:35" ht="20.100000000000001" customHeight="1" x14ac:dyDescent="0.25">
      <c r="A14" s="68">
        <f t="shared" si="6"/>
        <v>42163</v>
      </c>
      <c r="B14" s="41"/>
      <c r="C14" s="41"/>
      <c r="D14" s="41"/>
      <c r="E14" s="41"/>
      <c r="F14" s="41"/>
      <c r="G14" s="41"/>
      <c r="H14" s="41"/>
      <c r="I14" s="41"/>
      <c r="J14" s="37" t="str">
        <f>IF(H14=0,"",(0.658*H14+I14))</f>
        <v/>
      </c>
      <c r="K14" s="48"/>
      <c r="L14" s="42"/>
      <c r="M14" s="40" t="str">
        <f t="shared" si="1"/>
        <v/>
      </c>
      <c r="N14" s="37" t="str">
        <f t="shared" si="2"/>
        <v/>
      </c>
      <c r="O14" s="38" t="str">
        <f t="shared" si="3"/>
        <v/>
      </c>
      <c r="P14" s="44" t="str">
        <f t="shared" si="8"/>
        <v/>
      </c>
      <c r="Q14" s="41" t="str">
        <f t="shared" si="0"/>
        <v/>
      </c>
      <c r="R14" s="41" t="str">
        <f>IF(C14=0,"",2.65*C14-1.69*D14)</f>
        <v/>
      </c>
      <c r="S14" s="42" t="str">
        <f t="shared" si="9"/>
        <v/>
      </c>
      <c r="T14" s="45" t="str">
        <f t="shared" si="10"/>
        <v/>
      </c>
      <c r="U14" s="52"/>
      <c r="V14" s="23"/>
      <c r="W14" s="5"/>
      <c r="X14" s="3"/>
      <c r="Y14" s="3"/>
      <c r="Z14" s="8"/>
      <c r="AA14" s="6"/>
      <c r="AB14" s="6"/>
      <c r="AC14" s="24"/>
      <c r="AD14" s="17"/>
      <c r="AE14" s="2"/>
      <c r="AF14" s="35"/>
      <c r="AG14" s="54" t="str">
        <f t="shared" si="11"/>
        <v/>
      </c>
      <c r="AI14" s="51" t="str">
        <f t="shared" si="5"/>
        <v/>
      </c>
    </row>
    <row r="15" spans="1:35" ht="20.100000000000001" customHeight="1" x14ac:dyDescent="0.25">
      <c r="A15" s="68">
        <f t="shared" si="6"/>
        <v>42164</v>
      </c>
      <c r="B15" s="41"/>
      <c r="C15" s="41"/>
      <c r="D15" s="41"/>
      <c r="E15" s="41"/>
      <c r="F15" s="41"/>
      <c r="G15" s="41"/>
      <c r="H15" s="41"/>
      <c r="I15" s="41"/>
      <c r="J15" s="37" t="str">
        <f t="shared" si="7"/>
        <v/>
      </c>
      <c r="K15" s="48"/>
      <c r="L15" s="42"/>
      <c r="M15" s="40" t="str">
        <f t="shared" si="1"/>
        <v/>
      </c>
      <c r="N15" s="37" t="str">
        <f t="shared" si="2"/>
        <v/>
      </c>
      <c r="O15" s="38" t="str">
        <f t="shared" si="3"/>
        <v/>
      </c>
      <c r="P15" s="44" t="str">
        <f t="shared" si="8"/>
        <v/>
      </c>
      <c r="Q15" s="41" t="str">
        <f t="shared" si="0"/>
        <v/>
      </c>
      <c r="R15" s="4" t="str">
        <f t="shared" si="4"/>
        <v/>
      </c>
      <c r="S15" s="42" t="str">
        <f t="shared" si="9"/>
        <v/>
      </c>
      <c r="T15" s="45" t="str">
        <f t="shared" si="10"/>
        <v/>
      </c>
      <c r="U15" s="52"/>
      <c r="V15" s="23"/>
      <c r="W15" s="5"/>
      <c r="X15" s="3"/>
      <c r="Y15" s="3"/>
      <c r="Z15" s="8"/>
      <c r="AA15" s="6"/>
      <c r="AB15" s="6"/>
      <c r="AC15" s="17"/>
      <c r="AD15" s="17"/>
      <c r="AE15" s="2"/>
      <c r="AF15" s="35"/>
      <c r="AG15" s="54" t="str">
        <f t="shared" si="11"/>
        <v/>
      </c>
      <c r="AI15" s="51" t="str">
        <f t="shared" si="5"/>
        <v/>
      </c>
    </row>
    <row r="16" spans="1:35" ht="20.100000000000001" customHeight="1" x14ac:dyDescent="0.25">
      <c r="A16" s="68">
        <f t="shared" si="6"/>
        <v>42165</v>
      </c>
      <c r="B16" s="41"/>
      <c r="C16" s="41"/>
      <c r="D16" s="41"/>
      <c r="E16" s="41"/>
      <c r="F16" s="41"/>
      <c r="G16" s="41"/>
      <c r="H16" s="41"/>
      <c r="I16" s="41"/>
      <c r="J16" s="41" t="str">
        <f t="shared" si="7"/>
        <v/>
      </c>
      <c r="K16" s="48"/>
      <c r="L16" s="42"/>
      <c r="M16" s="40" t="str">
        <f t="shared" si="1"/>
        <v/>
      </c>
      <c r="N16" s="37" t="str">
        <f t="shared" si="2"/>
        <v/>
      </c>
      <c r="O16" s="38" t="str">
        <f t="shared" si="3"/>
        <v/>
      </c>
      <c r="P16" s="44" t="str">
        <f t="shared" si="8"/>
        <v/>
      </c>
      <c r="Q16" s="41" t="str">
        <f t="shared" si="0"/>
        <v/>
      </c>
      <c r="R16" s="4" t="str">
        <f t="shared" si="4"/>
        <v/>
      </c>
      <c r="S16" s="42" t="str">
        <f t="shared" si="9"/>
        <v/>
      </c>
      <c r="T16" s="45" t="str">
        <f t="shared" si="10"/>
        <v/>
      </c>
      <c r="U16" s="52"/>
      <c r="V16" s="23"/>
      <c r="W16" s="6"/>
      <c r="X16" s="4"/>
      <c r="Y16" s="4"/>
      <c r="Z16" s="8"/>
      <c r="AA16" s="7"/>
      <c r="AB16" s="7"/>
      <c r="AC16" s="17"/>
      <c r="AD16" s="17"/>
      <c r="AE16" s="2"/>
      <c r="AF16" s="35"/>
      <c r="AG16" s="54" t="str">
        <f t="shared" si="11"/>
        <v/>
      </c>
      <c r="AI16" s="51" t="str">
        <f t="shared" si="5"/>
        <v/>
      </c>
    </row>
    <row r="17" spans="1:35" ht="20.100000000000001" customHeight="1" x14ac:dyDescent="0.25">
      <c r="A17" s="68">
        <f t="shared" si="6"/>
        <v>42166</v>
      </c>
      <c r="B17" s="41"/>
      <c r="C17" s="41"/>
      <c r="D17" s="41"/>
      <c r="E17" s="41"/>
      <c r="F17" s="41"/>
      <c r="G17" s="41"/>
      <c r="H17" s="41"/>
      <c r="I17" s="41"/>
      <c r="J17" s="41" t="str">
        <f t="shared" si="7"/>
        <v/>
      </c>
      <c r="K17" s="48"/>
      <c r="L17" s="42"/>
      <c r="M17" s="40" t="str">
        <f t="shared" si="1"/>
        <v/>
      </c>
      <c r="N17" s="37" t="str">
        <f t="shared" si="2"/>
        <v/>
      </c>
      <c r="O17" s="38" t="str">
        <f t="shared" si="3"/>
        <v/>
      </c>
      <c r="P17" s="44" t="str">
        <f t="shared" si="8"/>
        <v/>
      </c>
      <c r="Q17" s="41" t="str">
        <f t="shared" si="0"/>
        <v/>
      </c>
      <c r="R17" s="4" t="str">
        <f t="shared" si="4"/>
        <v/>
      </c>
      <c r="S17" s="42" t="str">
        <f t="shared" si="9"/>
        <v/>
      </c>
      <c r="T17" s="45" t="str">
        <f t="shared" si="10"/>
        <v/>
      </c>
      <c r="U17" s="52"/>
      <c r="V17" s="23"/>
      <c r="W17" s="6"/>
      <c r="X17" s="4"/>
      <c r="Y17" s="4"/>
      <c r="Z17" s="8"/>
      <c r="AA17" s="7"/>
      <c r="AB17" s="7"/>
      <c r="AC17" s="17"/>
      <c r="AD17" s="24"/>
      <c r="AE17" s="2"/>
      <c r="AF17" s="35"/>
      <c r="AG17" s="54" t="str">
        <f t="shared" si="11"/>
        <v/>
      </c>
      <c r="AI17" s="51" t="str">
        <f t="shared" si="5"/>
        <v/>
      </c>
    </row>
    <row r="18" spans="1:35" ht="20.100000000000001" customHeight="1" x14ac:dyDescent="0.25">
      <c r="A18" s="68">
        <f t="shared" si="6"/>
        <v>42167</v>
      </c>
      <c r="B18" s="41"/>
      <c r="C18" s="41"/>
      <c r="D18" s="41"/>
      <c r="E18" s="41"/>
      <c r="F18" s="41"/>
      <c r="G18" s="41"/>
      <c r="H18" s="41"/>
      <c r="I18" s="41"/>
      <c r="J18" s="37" t="str">
        <f t="shared" si="7"/>
        <v/>
      </c>
      <c r="K18" s="48"/>
      <c r="L18" s="42"/>
      <c r="M18" s="40" t="str">
        <f t="shared" si="1"/>
        <v/>
      </c>
      <c r="N18" s="37" t="str">
        <f t="shared" si="2"/>
        <v/>
      </c>
      <c r="O18" s="38" t="str">
        <f t="shared" si="3"/>
        <v/>
      </c>
      <c r="P18" s="44" t="str">
        <f t="shared" si="8"/>
        <v/>
      </c>
      <c r="Q18" s="41" t="str">
        <f t="shared" si="0"/>
        <v/>
      </c>
      <c r="R18" s="4" t="str">
        <f t="shared" si="4"/>
        <v/>
      </c>
      <c r="S18" s="42" t="str">
        <f t="shared" si="9"/>
        <v/>
      </c>
      <c r="T18" s="45" t="str">
        <f t="shared" si="10"/>
        <v/>
      </c>
      <c r="U18" s="52"/>
      <c r="V18" s="23"/>
      <c r="W18" s="7"/>
      <c r="X18" s="4"/>
      <c r="Y18" s="4"/>
      <c r="Z18" s="22"/>
      <c r="AA18" s="7"/>
      <c r="AB18" s="7"/>
      <c r="AC18" s="1"/>
      <c r="AD18" s="17"/>
      <c r="AE18" s="1"/>
      <c r="AF18" s="35"/>
      <c r="AG18" s="54" t="str">
        <f t="shared" si="11"/>
        <v/>
      </c>
      <c r="AI18" s="51" t="str">
        <f t="shared" si="5"/>
        <v/>
      </c>
    </row>
    <row r="19" spans="1:35" ht="20.100000000000001" customHeight="1" x14ac:dyDescent="0.25">
      <c r="A19" s="68">
        <f t="shared" si="6"/>
        <v>42168</v>
      </c>
      <c r="B19" s="41"/>
      <c r="C19" s="41"/>
      <c r="D19" s="41"/>
      <c r="E19" s="41"/>
      <c r="F19" s="41"/>
      <c r="G19" s="41"/>
      <c r="H19" s="41"/>
      <c r="I19" s="41"/>
      <c r="J19" s="37" t="str">
        <f t="shared" si="7"/>
        <v/>
      </c>
      <c r="K19" s="48"/>
      <c r="L19" s="42"/>
      <c r="M19" s="40" t="str">
        <f t="shared" si="1"/>
        <v/>
      </c>
      <c r="N19" s="37" t="str">
        <f t="shared" si="2"/>
        <v/>
      </c>
      <c r="O19" s="38" t="str">
        <f t="shared" si="3"/>
        <v/>
      </c>
      <c r="P19" s="44" t="str">
        <f t="shared" si="8"/>
        <v/>
      </c>
      <c r="Q19" s="41" t="str">
        <f t="shared" si="0"/>
        <v/>
      </c>
      <c r="R19" s="4" t="str">
        <f t="shared" si="4"/>
        <v/>
      </c>
      <c r="S19" s="42" t="str">
        <f t="shared" si="9"/>
        <v/>
      </c>
      <c r="T19" s="45" t="str">
        <f t="shared" si="10"/>
        <v/>
      </c>
      <c r="U19" s="52"/>
      <c r="V19" s="23"/>
      <c r="W19" s="7"/>
      <c r="X19" s="4"/>
      <c r="Y19" s="4"/>
      <c r="Z19" s="8"/>
      <c r="AA19" s="7"/>
      <c r="AB19" s="7"/>
      <c r="AC19" s="1"/>
      <c r="AD19" s="17"/>
      <c r="AE19" s="1"/>
      <c r="AF19" s="35"/>
      <c r="AG19" s="54" t="str">
        <f t="shared" si="11"/>
        <v/>
      </c>
      <c r="AI19" s="51" t="str">
        <f t="shared" si="5"/>
        <v/>
      </c>
    </row>
    <row r="20" spans="1:35" ht="20.100000000000001" customHeight="1" x14ac:dyDescent="0.25">
      <c r="A20" s="68">
        <f t="shared" si="6"/>
        <v>42169</v>
      </c>
      <c r="B20" s="41"/>
      <c r="C20" s="41"/>
      <c r="D20" s="41"/>
      <c r="E20" s="41"/>
      <c r="F20" s="41"/>
      <c r="G20" s="41"/>
      <c r="H20" s="41"/>
      <c r="I20" s="41"/>
      <c r="J20" s="37" t="str">
        <f t="shared" si="7"/>
        <v/>
      </c>
      <c r="K20" s="48"/>
      <c r="L20" s="42"/>
      <c r="M20" s="40" t="str">
        <f t="shared" si="1"/>
        <v/>
      </c>
      <c r="N20" s="37" t="str">
        <f t="shared" si="2"/>
        <v/>
      </c>
      <c r="O20" s="38" t="str">
        <f t="shared" si="3"/>
        <v/>
      </c>
      <c r="P20" s="44" t="str">
        <f t="shared" si="8"/>
        <v/>
      </c>
      <c r="Q20" s="41" t="str">
        <f t="shared" si="0"/>
        <v/>
      </c>
      <c r="R20" s="4" t="str">
        <f t="shared" si="4"/>
        <v/>
      </c>
      <c r="S20" s="42" t="str">
        <f t="shared" si="9"/>
        <v/>
      </c>
      <c r="T20" s="45" t="str">
        <f t="shared" si="10"/>
        <v/>
      </c>
      <c r="U20" s="52"/>
      <c r="V20" s="23"/>
      <c r="W20" s="7"/>
      <c r="X20" s="4"/>
      <c r="Y20" s="4"/>
      <c r="Z20" s="8"/>
      <c r="AA20" s="7"/>
      <c r="AB20" s="7"/>
      <c r="AC20" s="1"/>
      <c r="AD20" s="1"/>
      <c r="AE20" s="1"/>
      <c r="AF20" s="35"/>
      <c r="AG20" s="54" t="str">
        <f t="shared" si="11"/>
        <v/>
      </c>
      <c r="AI20" s="51" t="str">
        <f t="shared" si="5"/>
        <v/>
      </c>
    </row>
    <row r="21" spans="1:35" ht="20.100000000000001" customHeight="1" x14ac:dyDescent="0.25">
      <c r="A21" s="68">
        <f t="shared" si="6"/>
        <v>42170</v>
      </c>
      <c r="B21" s="41"/>
      <c r="C21" s="41"/>
      <c r="D21" s="41"/>
      <c r="E21" s="41"/>
      <c r="F21" s="41"/>
      <c r="G21" s="41"/>
      <c r="H21" s="41"/>
      <c r="I21" s="41"/>
      <c r="J21" s="37" t="str">
        <f>IF(H21=0,"",(0.658*H21+I21))</f>
        <v/>
      </c>
      <c r="K21" s="48"/>
      <c r="L21" s="42"/>
      <c r="M21" s="40" t="str">
        <f t="shared" si="1"/>
        <v/>
      </c>
      <c r="N21" s="37" t="str">
        <f t="shared" si="2"/>
        <v/>
      </c>
      <c r="O21" s="38" t="str">
        <f t="shared" si="3"/>
        <v/>
      </c>
      <c r="P21" s="44" t="str">
        <f t="shared" si="8"/>
        <v/>
      </c>
      <c r="Q21" s="41" t="str">
        <f t="shared" si="0"/>
        <v/>
      </c>
      <c r="R21" s="4" t="str">
        <f t="shared" si="4"/>
        <v/>
      </c>
      <c r="S21" s="42" t="str">
        <f t="shared" si="9"/>
        <v/>
      </c>
      <c r="T21" s="45" t="str">
        <f t="shared" si="10"/>
        <v/>
      </c>
      <c r="U21" s="52"/>
      <c r="V21" s="23"/>
      <c r="W21" s="18"/>
      <c r="X21" s="11"/>
      <c r="Y21" s="4"/>
      <c r="Z21" s="8"/>
      <c r="AA21" s="7"/>
      <c r="AB21" s="7"/>
      <c r="AC21" s="17"/>
      <c r="AD21" s="17"/>
      <c r="AE21" s="1"/>
      <c r="AF21" s="35"/>
      <c r="AG21" s="54" t="str">
        <f t="shared" si="11"/>
        <v/>
      </c>
      <c r="AI21" s="51" t="str">
        <f t="shared" si="5"/>
        <v/>
      </c>
    </row>
    <row r="22" spans="1:35" ht="20.100000000000001" customHeight="1" x14ac:dyDescent="0.25">
      <c r="A22" s="68">
        <f t="shared" si="6"/>
        <v>42171</v>
      </c>
      <c r="B22" s="41"/>
      <c r="C22" s="41"/>
      <c r="D22" s="41"/>
      <c r="E22" s="41"/>
      <c r="F22" s="41"/>
      <c r="G22" s="41"/>
      <c r="H22" s="41"/>
      <c r="I22" s="41"/>
      <c r="J22" s="37" t="str">
        <f t="shared" si="7"/>
        <v/>
      </c>
      <c r="K22" s="48"/>
      <c r="L22" s="42"/>
      <c r="M22" s="40" t="str">
        <f t="shared" si="1"/>
        <v/>
      </c>
      <c r="N22" s="37" t="str">
        <f t="shared" si="2"/>
        <v/>
      </c>
      <c r="O22" s="38" t="str">
        <f t="shared" si="3"/>
        <v/>
      </c>
      <c r="P22" s="44" t="str">
        <f t="shared" si="8"/>
        <v/>
      </c>
      <c r="Q22" s="41" t="str">
        <f t="shared" si="0"/>
        <v/>
      </c>
      <c r="R22" s="4" t="str">
        <f t="shared" si="4"/>
        <v/>
      </c>
      <c r="S22" s="42" t="str">
        <f t="shared" si="9"/>
        <v/>
      </c>
      <c r="T22" s="45" t="str">
        <f t="shared" si="10"/>
        <v/>
      </c>
      <c r="U22" s="52"/>
      <c r="V22" s="23"/>
      <c r="W22" s="12"/>
      <c r="X22" s="4"/>
      <c r="Y22" s="4"/>
      <c r="Z22" s="8"/>
      <c r="AA22" s="7"/>
      <c r="AB22" s="7"/>
      <c r="AC22" s="1"/>
      <c r="AD22" s="1"/>
      <c r="AE22" s="1"/>
      <c r="AF22" s="35"/>
      <c r="AG22" s="54" t="str">
        <f t="shared" si="11"/>
        <v/>
      </c>
      <c r="AI22" s="51" t="str">
        <f t="shared" si="5"/>
        <v/>
      </c>
    </row>
    <row r="23" spans="1:35" ht="20.100000000000001" customHeight="1" x14ac:dyDescent="0.25">
      <c r="A23" s="68">
        <f t="shared" si="6"/>
        <v>42172</v>
      </c>
      <c r="B23" s="41"/>
      <c r="C23" s="41"/>
      <c r="D23" s="41"/>
      <c r="E23" s="41"/>
      <c r="F23" s="41"/>
      <c r="G23" s="41"/>
      <c r="H23" s="41"/>
      <c r="I23" s="41"/>
      <c r="J23" s="37" t="str">
        <f t="shared" si="7"/>
        <v/>
      </c>
      <c r="K23" s="48"/>
      <c r="L23" s="42"/>
      <c r="M23" s="40" t="str">
        <f t="shared" si="1"/>
        <v/>
      </c>
      <c r="N23" s="37" t="str">
        <f t="shared" si="2"/>
        <v/>
      </c>
      <c r="O23" s="38" t="str">
        <f t="shared" si="3"/>
        <v/>
      </c>
      <c r="P23" s="44" t="str">
        <f t="shared" si="8"/>
        <v/>
      </c>
      <c r="Q23" s="41" t="str">
        <f t="shared" si="0"/>
        <v/>
      </c>
      <c r="R23" s="4" t="str">
        <f t="shared" si="4"/>
        <v/>
      </c>
      <c r="S23" s="42" t="str">
        <f t="shared" si="9"/>
        <v/>
      </c>
      <c r="T23" s="45" t="str">
        <f t="shared" si="10"/>
        <v/>
      </c>
      <c r="U23" s="52"/>
      <c r="V23" s="23"/>
      <c r="W23" s="7"/>
      <c r="X23" s="4"/>
      <c r="Y23" s="4"/>
      <c r="Z23" s="22"/>
      <c r="AA23" s="7"/>
      <c r="AB23" s="7"/>
      <c r="AC23" s="1"/>
      <c r="AD23" s="17"/>
      <c r="AE23" s="1"/>
      <c r="AF23" s="35"/>
      <c r="AG23" s="54" t="str">
        <f t="shared" si="11"/>
        <v/>
      </c>
      <c r="AI23" s="51" t="str">
        <f t="shared" si="5"/>
        <v/>
      </c>
    </row>
    <row r="24" spans="1:35" ht="20.100000000000001" customHeight="1" x14ac:dyDescent="0.25">
      <c r="A24" s="68">
        <f t="shared" si="6"/>
        <v>42173</v>
      </c>
      <c r="B24" s="41"/>
      <c r="C24" s="41"/>
      <c r="D24" s="41"/>
      <c r="E24" s="41"/>
      <c r="F24" s="41"/>
      <c r="G24" s="41"/>
      <c r="H24" s="41"/>
      <c r="I24" s="41"/>
      <c r="J24" s="37" t="str">
        <f t="shared" si="7"/>
        <v/>
      </c>
      <c r="K24" s="48"/>
      <c r="L24" s="42"/>
      <c r="M24" s="40" t="str">
        <f t="shared" si="1"/>
        <v/>
      </c>
      <c r="N24" s="37" t="str">
        <f t="shared" si="2"/>
        <v/>
      </c>
      <c r="O24" s="38" t="str">
        <f t="shared" si="3"/>
        <v/>
      </c>
      <c r="P24" s="44" t="str">
        <f t="shared" si="8"/>
        <v/>
      </c>
      <c r="Q24" s="41" t="str">
        <f t="shared" si="0"/>
        <v/>
      </c>
      <c r="R24" s="4" t="str">
        <f t="shared" si="4"/>
        <v/>
      </c>
      <c r="S24" s="42" t="str">
        <f t="shared" si="9"/>
        <v/>
      </c>
      <c r="T24" s="45" t="str">
        <f t="shared" si="10"/>
        <v/>
      </c>
      <c r="U24" s="52"/>
      <c r="V24" s="23"/>
      <c r="W24" s="7"/>
      <c r="X24" s="4"/>
      <c r="Y24" s="4"/>
      <c r="Z24" s="22"/>
      <c r="AA24" s="7"/>
      <c r="AB24" s="7"/>
      <c r="AC24" s="1"/>
      <c r="AD24" s="17"/>
      <c r="AE24" s="2"/>
      <c r="AF24" s="20"/>
      <c r="AG24" s="54" t="str">
        <f t="shared" si="11"/>
        <v/>
      </c>
      <c r="AH24" s="69"/>
      <c r="AI24" s="51" t="str">
        <f t="shared" si="5"/>
        <v/>
      </c>
    </row>
    <row r="25" spans="1:35" ht="20.100000000000001" customHeight="1" x14ac:dyDescent="0.25">
      <c r="A25" s="68">
        <f t="shared" si="6"/>
        <v>42174</v>
      </c>
      <c r="B25" s="41"/>
      <c r="C25" s="41"/>
      <c r="D25" s="41"/>
      <c r="E25" s="41"/>
      <c r="F25" s="41"/>
      <c r="G25" s="41"/>
      <c r="H25" s="41"/>
      <c r="I25" s="41"/>
      <c r="J25" s="37" t="str">
        <f t="shared" si="7"/>
        <v/>
      </c>
      <c r="K25" s="48"/>
      <c r="L25" s="42"/>
      <c r="M25" s="40" t="str">
        <f t="shared" si="1"/>
        <v/>
      </c>
      <c r="N25" s="37" t="str">
        <f t="shared" si="2"/>
        <v/>
      </c>
      <c r="O25" s="38" t="str">
        <f t="shared" si="3"/>
        <v/>
      </c>
      <c r="P25" s="44" t="str">
        <f t="shared" si="8"/>
        <v/>
      </c>
      <c r="Q25" s="41" t="str">
        <f t="shared" si="0"/>
        <v/>
      </c>
      <c r="R25" s="4" t="str">
        <f t="shared" si="4"/>
        <v/>
      </c>
      <c r="S25" s="42" t="str">
        <f t="shared" si="9"/>
        <v/>
      </c>
      <c r="T25" s="45" t="str">
        <f t="shared" si="10"/>
        <v/>
      </c>
      <c r="U25" s="52"/>
      <c r="V25" s="23"/>
      <c r="W25" s="7"/>
      <c r="X25" s="4"/>
      <c r="Y25" s="4"/>
      <c r="Z25" s="22"/>
      <c r="AA25" s="7"/>
      <c r="AB25" s="7"/>
      <c r="AC25" s="1"/>
      <c r="AD25" s="17"/>
      <c r="AE25" s="2"/>
      <c r="AF25" s="20"/>
      <c r="AG25" s="54" t="str">
        <f t="shared" si="11"/>
        <v/>
      </c>
      <c r="AH25" s="69"/>
      <c r="AI25" s="51" t="str">
        <f t="shared" si="5"/>
        <v/>
      </c>
    </row>
    <row r="26" spans="1:35" ht="20.100000000000001" customHeight="1" x14ac:dyDescent="0.25">
      <c r="A26" s="68">
        <f t="shared" si="6"/>
        <v>42175</v>
      </c>
      <c r="B26" s="41"/>
      <c r="C26" s="41"/>
      <c r="D26" s="41"/>
      <c r="E26" s="41"/>
      <c r="F26" s="41"/>
      <c r="G26" s="41"/>
      <c r="H26" s="41"/>
      <c r="I26" s="41"/>
      <c r="J26" s="37" t="str">
        <f t="shared" si="7"/>
        <v/>
      </c>
      <c r="K26" s="48"/>
      <c r="L26" s="42"/>
      <c r="M26" s="40" t="str">
        <f t="shared" si="1"/>
        <v/>
      </c>
      <c r="N26" s="37" t="str">
        <f t="shared" si="2"/>
        <v/>
      </c>
      <c r="O26" s="38" t="str">
        <f t="shared" si="3"/>
        <v/>
      </c>
      <c r="P26" s="44" t="str">
        <f t="shared" si="8"/>
        <v/>
      </c>
      <c r="Q26" s="41" t="str">
        <f t="shared" si="0"/>
        <v/>
      </c>
      <c r="R26" s="4" t="str">
        <f t="shared" si="4"/>
        <v/>
      </c>
      <c r="S26" s="42" t="str">
        <f t="shared" si="9"/>
        <v/>
      </c>
      <c r="T26" s="45" t="str">
        <f t="shared" si="10"/>
        <v/>
      </c>
      <c r="U26" s="52"/>
      <c r="V26" s="23"/>
      <c r="W26" s="7"/>
      <c r="X26" s="4"/>
      <c r="Y26" s="4"/>
      <c r="Z26" s="22"/>
      <c r="AA26" s="7"/>
      <c r="AB26" s="7"/>
      <c r="AC26" s="1"/>
      <c r="AD26" s="17"/>
      <c r="AE26" s="2"/>
      <c r="AF26" s="20"/>
      <c r="AG26" s="54" t="str">
        <f t="shared" si="11"/>
        <v/>
      </c>
      <c r="AI26" s="51" t="str">
        <f t="shared" si="5"/>
        <v/>
      </c>
    </row>
    <row r="27" spans="1:35" ht="20.100000000000001" customHeight="1" x14ac:dyDescent="0.25">
      <c r="A27" s="68">
        <f t="shared" si="6"/>
        <v>42176</v>
      </c>
      <c r="B27" s="41"/>
      <c r="C27" s="41"/>
      <c r="D27" s="41"/>
      <c r="E27" s="41"/>
      <c r="F27" s="41"/>
      <c r="G27" s="41"/>
      <c r="H27" s="41"/>
      <c r="I27" s="41"/>
      <c r="J27" s="37" t="str">
        <f t="shared" si="7"/>
        <v/>
      </c>
      <c r="K27" s="48"/>
      <c r="L27" s="42"/>
      <c r="M27" s="40" t="str">
        <f t="shared" si="1"/>
        <v/>
      </c>
      <c r="N27" s="37" t="str">
        <f t="shared" si="2"/>
        <v/>
      </c>
      <c r="O27" s="38" t="str">
        <f t="shared" si="3"/>
        <v/>
      </c>
      <c r="P27" s="44" t="str">
        <f t="shared" si="8"/>
        <v/>
      </c>
      <c r="Q27" s="41" t="str">
        <f t="shared" si="0"/>
        <v/>
      </c>
      <c r="R27" s="4" t="str">
        <f t="shared" si="4"/>
        <v/>
      </c>
      <c r="S27" s="42" t="str">
        <f t="shared" si="9"/>
        <v/>
      </c>
      <c r="T27" s="45" t="str">
        <f t="shared" si="10"/>
        <v/>
      </c>
      <c r="U27" s="52"/>
      <c r="V27" s="23"/>
      <c r="W27" s="7"/>
      <c r="X27" s="4"/>
      <c r="Y27" s="4"/>
      <c r="Z27" s="22"/>
      <c r="AA27" s="7"/>
      <c r="AB27" s="7"/>
      <c r="AC27" s="1"/>
      <c r="AD27" s="17"/>
      <c r="AE27" s="2"/>
      <c r="AF27" s="20"/>
      <c r="AG27" s="54" t="str">
        <f t="shared" si="11"/>
        <v/>
      </c>
      <c r="AI27" s="51" t="str">
        <f t="shared" si="5"/>
        <v/>
      </c>
    </row>
    <row r="28" spans="1:35" ht="20.100000000000001" customHeight="1" x14ac:dyDescent="0.25">
      <c r="A28" s="68">
        <f t="shared" si="6"/>
        <v>42177</v>
      </c>
      <c r="B28" s="41"/>
      <c r="C28" s="41"/>
      <c r="D28" s="41"/>
      <c r="E28" s="41"/>
      <c r="F28" s="41"/>
      <c r="G28" s="41"/>
      <c r="H28" s="41"/>
      <c r="I28" s="41"/>
      <c r="J28" s="37" t="str">
        <f>IF(H28=0,"",(0.658*H28+I28))</f>
        <v/>
      </c>
      <c r="K28" s="48"/>
      <c r="L28" s="42"/>
      <c r="M28" s="40" t="str">
        <f t="shared" si="1"/>
        <v/>
      </c>
      <c r="N28" s="37" t="str">
        <f t="shared" si="2"/>
        <v/>
      </c>
      <c r="O28" s="38" t="str">
        <f t="shared" si="3"/>
        <v/>
      </c>
      <c r="P28" s="44" t="str">
        <f t="shared" si="8"/>
        <v/>
      </c>
      <c r="Q28" s="41" t="str">
        <f t="shared" si="0"/>
        <v/>
      </c>
      <c r="R28" s="4" t="str">
        <f t="shared" si="4"/>
        <v/>
      </c>
      <c r="S28" s="42" t="str">
        <f t="shared" si="9"/>
        <v/>
      </c>
      <c r="T28" s="45" t="str">
        <f t="shared" si="10"/>
        <v/>
      </c>
      <c r="U28" s="70"/>
      <c r="V28" s="23"/>
      <c r="W28" s="7"/>
      <c r="X28" s="4"/>
      <c r="Y28" s="4"/>
      <c r="Z28" s="22"/>
      <c r="AA28" s="7"/>
      <c r="AB28" s="7"/>
      <c r="AC28" s="1"/>
      <c r="AD28" s="17"/>
      <c r="AE28" s="2"/>
      <c r="AF28" s="20"/>
      <c r="AG28" s="54" t="str">
        <f t="shared" si="11"/>
        <v/>
      </c>
      <c r="AI28" s="51" t="str">
        <f t="shared" si="5"/>
        <v/>
      </c>
    </row>
    <row r="29" spans="1:35" ht="20.100000000000001" customHeight="1" x14ac:dyDescent="0.25">
      <c r="A29" s="68">
        <f t="shared" si="6"/>
        <v>42178</v>
      </c>
      <c r="B29" s="41"/>
      <c r="C29" s="41"/>
      <c r="D29" s="41"/>
      <c r="E29" s="41"/>
      <c r="F29" s="41"/>
      <c r="G29" s="41"/>
      <c r="H29" s="41"/>
      <c r="I29" s="41"/>
      <c r="J29" s="37" t="str">
        <f t="shared" si="7"/>
        <v/>
      </c>
      <c r="K29" s="48"/>
      <c r="L29" s="42"/>
      <c r="M29" s="40" t="str">
        <f t="shared" si="1"/>
        <v/>
      </c>
      <c r="N29" s="37" t="str">
        <f t="shared" si="2"/>
        <v/>
      </c>
      <c r="O29" s="38" t="str">
        <f t="shared" si="3"/>
        <v/>
      </c>
      <c r="P29" s="44" t="str">
        <f t="shared" si="8"/>
        <v/>
      </c>
      <c r="Q29" s="41" t="str">
        <f t="shared" si="0"/>
        <v/>
      </c>
      <c r="R29" s="4" t="str">
        <f t="shared" si="4"/>
        <v/>
      </c>
      <c r="S29" s="42" t="str">
        <f t="shared" si="9"/>
        <v/>
      </c>
      <c r="T29" s="45" t="str">
        <f t="shared" si="10"/>
        <v/>
      </c>
      <c r="U29" s="52"/>
      <c r="V29" s="23"/>
      <c r="W29" s="7"/>
      <c r="X29" s="4"/>
      <c r="Y29" s="4"/>
      <c r="Z29" s="22"/>
      <c r="AA29" s="7"/>
      <c r="AB29" s="7"/>
      <c r="AC29" s="1"/>
      <c r="AD29" s="17"/>
      <c r="AE29" s="2"/>
      <c r="AF29" s="20"/>
      <c r="AG29" s="54" t="str">
        <f t="shared" si="11"/>
        <v/>
      </c>
      <c r="AI29" s="51" t="str">
        <f t="shared" si="5"/>
        <v/>
      </c>
    </row>
    <row r="30" spans="1:35" ht="20.100000000000001" customHeight="1" x14ac:dyDescent="0.25">
      <c r="A30" s="68">
        <f t="shared" si="6"/>
        <v>42179</v>
      </c>
      <c r="B30" s="41"/>
      <c r="C30" s="41"/>
      <c r="D30" s="41"/>
      <c r="E30" s="41"/>
      <c r="F30" s="41"/>
      <c r="G30" s="41"/>
      <c r="H30" s="41"/>
      <c r="I30" s="41"/>
      <c r="J30" s="37" t="str">
        <f t="shared" si="7"/>
        <v/>
      </c>
      <c r="K30" s="48"/>
      <c r="L30" s="42"/>
      <c r="M30" s="40" t="str">
        <f t="shared" si="1"/>
        <v/>
      </c>
      <c r="N30" s="37" t="str">
        <f t="shared" si="2"/>
        <v/>
      </c>
      <c r="O30" s="38" t="str">
        <f t="shared" si="3"/>
        <v/>
      </c>
      <c r="P30" s="44" t="str">
        <f t="shared" si="8"/>
        <v/>
      </c>
      <c r="Q30" s="41" t="str">
        <f t="shared" si="0"/>
        <v/>
      </c>
      <c r="R30" s="4" t="str">
        <f t="shared" si="4"/>
        <v/>
      </c>
      <c r="S30" s="42" t="str">
        <f t="shared" si="9"/>
        <v/>
      </c>
      <c r="T30" s="45" t="str">
        <f t="shared" si="10"/>
        <v/>
      </c>
      <c r="U30" s="52"/>
      <c r="V30" s="23"/>
      <c r="W30" s="7"/>
      <c r="X30" s="4"/>
      <c r="Y30" s="4"/>
      <c r="Z30" s="22"/>
      <c r="AA30" s="7"/>
      <c r="AB30" s="7"/>
      <c r="AC30" s="1"/>
      <c r="AD30" s="17"/>
      <c r="AE30" s="2"/>
      <c r="AF30" s="20"/>
      <c r="AG30" s="54" t="str">
        <f t="shared" si="11"/>
        <v/>
      </c>
      <c r="AI30" s="51" t="str">
        <f t="shared" si="5"/>
        <v/>
      </c>
    </row>
    <row r="31" spans="1:35" ht="20.100000000000001" customHeight="1" x14ac:dyDescent="0.25">
      <c r="A31" s="68">
        <f t="shared" si="6"/>
        <v>42180</v>
      </c>
      <c r="B31" s="41"/>
      <c r="C31" s="41"/>
      <c r="D31" s="41"/>
      <c r="E31" s="41"/>
      <c r="F31" s="41"/>
      <c r="G31" s="41"/>
      <c r="H31" s="41"/>
      <c r="I31" s="41"/>
      <c r="J31" s="37" t="str">
        <f t="shared" si="7"/>
        <v/>
      </c>
      <c r="K31" s="48"/>
      <c r="L31" s="42"/>
      <c r="M31" s="40" t="str">
        <f t="shared" si="1"/>
        <v/>
      </c>
      <c r="N31" s="37" t="str">
        <f t="shared" si="2"/>
        <v/>
      </c>
      <c r="O31" s="38" t="str">
        <f t="shared" si="3"/>
        <v/>
      </c>
      <c r="P31" s="44" t="str">
        <f t="shared" si="8"/>
        <v/>
      </c>
      <c r="Q31" s="41" t="str">
        <f t="shared" si="0"/>
        <v/>
      </c>
      <c r="R31" s="4" t="str">
        <f t="shared" si="4"/>
        <v/>
      </c>
      <c r="S31" s="42" t="str">
        <f t="shared" si="9"/>
        <v/>
      </c>
      <c r="T31" s="45" t="str">
        <f t="shared" si="10"/>
        <v/>
      </c>
      <c r="U31" s="52"/>
      <c r="V31" s="23"/>
      <c r="W31" s="7"/>
      <c r="X31" s="4"/>
      <c r="Y31" s="4"/>
      <c r="Z31" s="22"/>
      <c r="AA31" s="7"/>
      <c r="AB31" s="7"/>
      <c r="AC31" s="1"/>
      <c r="AD31" s="17"/>
      <c r="AE31" s="2"/>
      <c r="AF31" s="21"/>
      <c r="AG31" s="54" t="str">
        <f t="shared" si="11"/>
        <v/>
      </c>
      <c r="AI31" s="51" t="str">
        <f t="shared" si="5"/>
        <v/>
      </c>
    </row>
    <row r="32" spans="1:35" ht="20.100000000000001" customHeight="1" x14ac:dyDescent="0.25">
      <c r="A32" s="68">
        <f t="shared" si="6"/>
        <v>42181</v>
      </c>
      <c r="B32" s="41"/>
      <c r="C32" s="41"/>
      <c r="D32" s="41"/>
      <c r="E32" s="41"/>
      <c r="F32" s="41"/>
      <c r="G32" s="41"/>
      <c r="H32" s="41"/>
      <c r="I32" s="41"/>
      <c r="J32" s="37" t="str">
        <f t="shared" si="7"/>
        <v/>
      </c>
      <c r="K32" s="48"/>
      <c r="L32" s="42"/>
      <c r="M32" s="40" t="str">
        <f t="shared" si="1"/>
        <v/>
      </c>
      <c r="N32" s="37" t="str">
        <f t="shared" si="2"/>
        <v/>
      </c>
      <c r="O32" s="38" t="str">
        <f t="shared" si="3"/>
        <v/>
      </c>
      <c r="P32" s="44" t="str">
        <f t="shared" si="8"/>
        <v/>
      </c>
      <c r="Q32" s="41" t="str">
        <f t="shared" si="0"/>
        <v/>
      </c>
      <c r="R32" s="4" t="str">
        <f t="shared" si="4"/>
        <v/>
      </c>
      <c r="S32" s="42" t="str">
        <f t="shared" si="9"/>
        <v/>
      </c>
      <c r="T32" s="45" t="str">
        <f t="shared" si="10"/>
        <v/>
      </c>
      <c r="U32" s="52"/>
      <c r="V32" s="23"/>
      <c r="W32" s="10"/>
      <c r="X32" s="4"/>
      <c r="Y32" s="4"/>
      <c r="Z32" s="8"/>
      <c r="AA32" s="7"/>
      <c r="AB32" s="7"/>
      <c r="AC32" s="2"/>
      <c r="AD32" s="2"/>
      <c r="AE32" s="2"/>
      <c r="AF32" s="20"/>
      <c r="AG32" s="54" t="str">
        <f t="shared" si="11"/>
        <v/>
      </c>
      <c r="AI32" s="51" t="str">
        <f t="shared" si="5"/>
        <v/>
      </c>
    </row>
    <row r="33" spans="1:37" ht="19.5" customHeight="1" x14ac:dyDescent="0.25">
      <c r="A33" s="68">
        <f t="shared" si="6"/>
        <v>42182</v>
      </c>
      <c r="B33" s="41"/>
      <c r="C33" s="41"/>
      <c r="D33" s="41"/>
      <c r="E33" s="41"/>
      <c r="F33" s="41"/>
      <c r="G33" s="41"/>
      <c r="H33" s="41"/>
      <c r="I33" s="41"/>
      <c r="J33" s="37" t="str">
        <f t="shared" si="7"/>
        <v/>
      </c>
      <c r="K33" s="48"/>
      <c r="L33" s="42"/>
      <c r="M33" s="40" t="str">
        <f t="shared" si="1"/>
        <v/>
      </c>
      <c r="N33" s="37" t="str">
        <f t="shared" si="2"/>
        <v/>
      </c>
      <c r="O33" s="38" t="str">
        <f t="shared" si="3"/>
        <v/>
      </c>
      <c r="P33" s="44" t="str">
        <f t="shared" si="8"/>
        <v/>
      </c>
      <c r="Q33" s="41" t="str">
        <f t="shared" si="0"/>
        <v/>
      </c>
      <c r="R33" s="4" t="str">
        <f t="shared" si="4"/>
        <v/>
      </c>
      <c r="S33" s="42" t="str">
        <f t="shared" si="9"/>
        <v/>
      </c>
      <c r="T33" s="45" t="str">
        <f t="shared" si="10"/>
        <v/>
      </c>
      <c r="U33" s="52"/>
      <c r="V33" s="23"/>
      <c r="W33" s="12"/>
      <c r="X33" s="4"/>
      <c r="Y33" s="4"/>
      <c r="Z33" s="8"/>
      <c r="AA33" s="7"/>
      <c r="AB33" s="7"/>
      <c r="AC33" s="2"/>
      <c r="AD33" s="2"/>
      <c r="AE33" s="2"/>
      <c r="AF33" s="25"/>
      <c r="AG33" s="54" t="str">
        <f t="shared" si="11"/>
        <v/>
      </c>
      <c r="AI33" s="51" t="str">
        <f t="shared" si="5"/>
        <v/>
      </c>
    </row>
    <row r="34" spans="1:37" ht="19.5" customHeight="1" x14ac:dyDescent="0.25">
      <c r="A34" s="71">
        <f t="shared" si="6"/>
        <v>42183</v>
      </c>
      <c r="B34" s="41"/>
      <c r="C34" s="41"/>
      <c r="D34" s="41"/>
      <c r="E34" s="41"/>
      <c r="F34" s="41"/>
      <c r="G34" s="41"/>
      <c r="H34" s="41"/>
      <c r="I34" s="41"/>
      <c r="J34" s="37" t="str">
        <f t="shared" si="7"/>
        <v/>
      </c>
      <c r="K34" s="48"/>
      <c r="L34" s="42"/>
      <c r="M34" s="40" t="str">
        <f t="shared" si="1"/>
        <v/>
      </c>
      <c r="N34" s="37" t="str">
        <f t="shared" si="2"/>
        <v/>
      </c>
      <c r="O34" s="38" t="str">
        <f t="shared" si="3"/>
        <v/>
      </c>
      <c r="P34" s="44" t="str">
        <f t="shared" si="8"/>
        <v/>
      </c>
      <c r="Q34" s="41" t="str">
        <f t="shared" si="0"/>
        <v/>
      </c>
      <c r="R34" s="4" t="str">
        <f t="shared" si="4"/>
        <v/>
      </c>
      <c r="S34" s="42" t="str">
        <f t="shared" si="9"/>
        <v/>
      </c>
      <c r="T34" s="45" t="str">
        <f t="shared" si="10"/>
        <v/>
      </c>
      <c r="U34" s="53"/>
      <c r="V34" s="28"/>
      <c r="W34" s="29"/>
      <c r="X34" s="27"/>
      <c r="Y34" s="27"/>
      <c r="Z34" s="30"/>
      <c r="AA34" s="31"/>
      <c r="AB34" s="31"/>
      <c r="AC34" s="32"/>
      <c r="AD34" s="32"/>
      <c r="AE34" s="32"/>
      <c r="AF34" s="33"/>
      <c r="AG34" s="54" t="str">
        <f t="shared" si="11"/>
        <v/>
      </c>
      <c r="AI34" s="51" t="str">
        <f t="shared" si="5"/>
        <v/>
      </c>
    </row>
    <row r="35" spans="1:37" ht="20.100000000000001" customHeight="1" x14ac:dyDescent="0.25">
      <c r="A35" s="68">
        <f t="shared" si="6"/>
        <v>42184</v>
      </c>
      <c r="B35" s="41"/>
      <c r="C35" s="41"/>
      <c r="D35" s="41"/>
      <c r="E35" s="41"/>
      <c r="F35" s="41"/>
      <c r="G35" s="41"/>
      <c r="H35" s="41"/>
      <c r="I35" s="41"/>
      <c r="J35" s="37" t="str">
        <f t="shared" si="7"/>
        <v/>
      </c>
      <c r="K35" s="48"/>
      <c r="L35" s="42"/>
      <c r="M35" s="40" t="str">
        <f>IF(B35=0,"",(100*(E35-0.7*G35))/(2.8*B35+1.18*C35+0.65*D35))</f>
        <v/>
      </c>
      <c r="N35" s="37" t="str">
        <f>+IF(B35=0,"",B35/(C35+D35))</f>
        <v/>
      </c>
      <c r="O35" s="38" t="str">
        <f>IF(C35=0,"",C35/D35)</f>
        <v/>
      </c>
      <c r="P35" s="44" t="str">
        <f t="shared" si="8"/>
        <v/>
      </c>
      <c r="Q35" s="41" t="str">
        <f>IF(B35=0,"",2.87*B35-0.754*P35)</f>
        <v/>
      </c>
      <c r="R35" s="4" t="str">
        <f>IF(C35=0,"",2.65*C35-1.69*D35)</f>
        <v/>
      </c>
      <c r="S35" s="42" t="str">
        <f>IF(D35=0,"",3.04*D35)</f>
        <v/>
      </c>
      <c r="T35" s="45" t="str">
        <f t="shared" si="10"/>
        <v/>
      </c>
      <c r="U35" s="52"/>
      <c r="V35" s="23"/>
      <c r="W35" s="10"/>
      <c r="X35" s="4"/>
      <c r="Y35" s="4"/>
      <c r="Z35" s="8"/>
      <c r="AA35" s="7"/>
      <c r="AB35" s="7"/>
      <c r="AC35" s="2"/>
      <c r="AD35" s="2"/>
      <c r="AE35" s="2"/>
      <c r="AF35" s="20"/>
      <c r="AG35" s="54" t="str">
        <f t="shared" si="11"/>
        <v/>
      </c>
      <c r="AI35" s="51" t="str">
        <f t="shared" si="5"/>
        <v/>
      </c>
    </row>
    <row r="36" spans="1:37" ht="19.5" customHeight="1" x14ac:dyDescent="0.25">
      <c r="A36" s="68">
        <f t="shared" si="6"/>
        <v>42185</v>
      </c>
      <c r="B36" s="41"/>
      <c r="C36" s="41"/>
      <c r="D36" s="41"/>
      <c r="E36" s="41"/>
      <c r="F36" s="41"/>
      <c r="G36" s="41"/>
      <c r="H36" s="41"/>
      <c r="I36" s="41"/>
      <c r="J36" s="37" t="str">
        <f t="shared" si="7"/>
        <v/>
      </c>
      <c r="K36" s="48"/>
      <c r="L36" s="42"/>
      <c r="M36" s="40" t="str">
        <f>IF(B36=0,"",(100*(E36-0.7*G36))/(2.8*B36+1.18*C36+0.65*D36))</f>
        <v/>
      </c>
      <c r="N36" s="37" t="str">
        <f>+IF(B36=0,"",B36/(C36+D36))</f>
        <v/>
      </c>
      <c r="O36" s="38" t="str">
        <f>IF(C36=0,"",C36/D36)</f>
        <v/>
      </c>
      <c r="P36" s="44" t="str">
        <f t="shared" si="8"/>
        <v/>
      </c>
      <c r="Q36" s="41" t="str">
        <f>IF(B36=0,"",2.87*B36-0.754*P36)</f>
        <v/>
      </c>
      <c r="R36" s="4" t="str">
        <f>IF(C36=0,"",2.65*C36-1.69*D36)</f>
        <v/>
      </c>
      <c r="S36" s="42" t="str">
        <f>IF(D36=0,"",3.04*D36)</f>
        <v/>
      </c>
      <c r="T36" s="45" t="str">
        <f t="shared" si="10"/>
        <v/>
      </c>
      <c r="U36" s="52"/>
      <c r="V36" s="23"/>
      <c r="W36" s="12"/>
      <c r="X36" s="4"/>
      <c r="Y36" s="4"/>
      <c r="Z36" s="8"/>
      <c r="AA36" s="7"/>
      <c r="AB36" s="7"/>
      <c r="AC36" s="2"/>
      <c r="AD36" s="2"/>
      <c r="AE36" s="2"/>
      <c r="AF36" s="25"/>
      <c r="AG36" s="54" t="str">
        <f t="shared" si="11"/>
        <v/>
      </c>
      <c r="AI36" s="51" t="str">
        <f t="shared" si="5"/>
        <v/>
      </c>
    </row>
    <row r="37" spans="1:37" ht="19.5" customHeight="1" thickBot="1" x14ac:dyDescent="0.3">
      <c r="A37" s="68">
        <f t="shared" si="6"/>
        <v>42186</v>
      </c>
      <c r="B37" s="43"/>
      <c r="C37" s="43"/>
      <c r="D37" s="43"/>
      <c r="E37" s="43"/>
      <c r="F37" s="43"/>
      <c r="G37" s="43"/>
      <c r="H37" s="43"/>
      <c r="I37" s="43"/>
      <c r="J37" s="37" t="str">
        <f t="shared" si="7"/>
        <v/>
      </c>
      <c r="K37" s="72"/>
      <c r="L37" s="46"/>
      <c r="M37" s="40" t="str">
        <f>IF(B37=0,"",(100*(E37-0.7*G37))/(2.8*B37+1.18*C37+0.65*D37))</f>
        <v/>
      </c>
      <c r="N37" s="37" t="str">
        <f>+IF(B37=0,"",B37/(C37+D37))</f>
        <v/>
      </c>
      <c r="O37" s="38" t="str">
        <f>IF(C37=0,"",C37/D37)</f>
        <v/>
      </c>
      <c r="P37" s="44" t="str">
        <f t="shared" si="8"/>
        <v/>
      </c>
      <c r="Q37" s="41" t="str">
        <f>IF(B37=0,"",2.87*B37-0.754*P37)</f>
        <v/>
      </c>
      <c r="R37" s="4" t="str">
        <f>IF(C37=0,"",2.65*C37-1.69*D37)</f>
        <v/>
      </c>
      <c r="S37" s="42" t="str">
        <f>IF(D37=0,"",3.04*D37)</f>
        <v/>
      </c>
      <c r="T37" s="45" t="str">
        <f t="shared" si="10"/>
        <v/>
      </c>
      <c r="U37" s="53"/>
      <c r="V37" s="28"/>
      <c r="W37" s="29"/>
      <c r="X37" s="27"/>
      <c r="Y37" s="27"/>
      <c r="Z37" s="30"/>
      <c r="AA37" s="31"/>
      <c r="AB37" s="31"/>
      <c r="AC37" s="32"/>
      <c r="AD37" s="32"/>
      <c r="AE37" s="32"/>
      <c r="AF37" s="33"/>
      <c r="AG37" s="54" t="str">
        <f t="shared" si="11"/>
        <v/>
      </c>
      <c r="AI37" s="51" t="str">
        <f t="shared" si="5"/>
        <v/>
      </c>
    </row>
    <row r="38" spans="1:37" ht="17.25" customHeight="1" thickTop="1" x14ac:dyDescent="0.25">
      <c r="A38" s="103" t="s">
        <v>17</v>
      </c>
      <c r="B38" s="56">
        <f t="shared" ref="B38:L38" si="12">MIN(B7:B37)</f>
        <v>0</v>
      </c>
      <c r="C38" s="56">
        <f t="shared" si="12"/>
        <v>0</v>
      </c>
      <c r="D38" s="56">
        <f t="shared" si="12"/>
        <v>0</v>
      </c>
      <c r="E38" s="56">
        <f t="shared" si="12"/>
        <v>0</v>
      </c>
      <c r="F38" s="56">
        <f t="shared" si="12"/>
        <v>0</v>
      </c>
      <c r="G38" s="56">
        <f t="shared" si="12"/>
        <v>0</v>
      </c>
      <c r="H38" s="56">
        <f t="shared" si="12"/>
        <v>0</v>
      </c>
      <c r="I38" s="56">
        <f t="shared" si="12"/>
        <v>0</v>
      </c>
      <c r="J38" s="56">
        <f t="shared" si="12"/>
        <v>0</v>
      </c>
      <c r="K38" s="73">
        <f t="shared" si="12"/>
        <v>0</v>
      </c>
      <c r="L38" s="57">
        <f t="shared" si="12"/>
        <v>0</v>
      </c>
      <c r="M38" s="50">
        <f t="shared" ref="M38:S38" si="13">MIN(M7:M34)</f>
        <v>0</v>
      </c>
      <c r="N38" s="56">
        <f t="shared" si="13"/>
        <v>0</v>
      </c>
      <c r="O38" s="57">
        <f t="shared" si="13"/>
        <v>0</v>
      </c>
      <c r="P38" s="56">
        <f t="shared" si="13"/>
        <v>0</v>
      </c>
      <c r="Q38" s="56">
        <f t="shared" si="13"/>
        <v>0</v>
      </c>
      <c r="R38" s="56">
        <f t="shared" si="13"/>
        <v>0</v>
      </c>
      <c r="S38" s="57">
        <f t="shared" si="13"/>
        <v>0</v>
      </c>
      <c r="T38" s="57">
        <f t="shared" ref="T38:AG38" si="14">MIN(T7:T37)</f>
        <v>0</v>
      </c>
      <c r="U38" s="74">
        <f t="shared" si="14"/>
        <v>0</v>
      </c>
      <c r="V38" s="74">
        <f t="shared" si="14"/>
        <v>0</v>
      </c>
      <c r="W38" s="74">
        <f t="shared" si="14"/>
        <v>0</v>
      </c>
      <c r="X38" s="74">
        <f t="shared" si="14"/>
        <v>0</v>
      </c>
      <c r="Y38" s="74">
        <f t="shared" si="14"/>
        <v>0</v>
      </c>
      <c r="Z38" s="74">
        <f t="shared" si="14"/>
        <v>0</v>
      </c>
      <c r="AA38" s="74">
        <f t="shared" si="14"/>
        <v>0</v>
      </c>
      <c r="AB38" s="74">
        <f t="shared" si="14"/>
        <v>0</v>
      </c>
      <c r="AC38" s="74">
        <f t="shared" si="14"/>
        <v>0</v>
      </c>
      <c r="AD38" s="74">
        <f t="shared" si="14"/>
        <v>0</v>
      </c>
      <c r="AE38" s="74">
        <f t="shared" si="14"/>
        <v>0</v>
      </c>
      <c r="AF38" s="74">
        <f t="shared" si="14"/>
        <v>0</v>
      </c>
      <c r="AG38" s="75">
        <f t="shared" si="14"/>
        <v>0</v>
      </c>
      <c r="AI38" s="76" t="str">
        <f>IF(SUM(AI5:AI37)&gt;0,AVERAGE(AI5:AI37),"")</f>
        <v/>
      </c>
    </row>
    <row r="39" spans="1:37" ht="17.25" customHeight="1" x14ac:dyDescent="0.25">
      <c r="A39" s="104" t="s">
        <v>18</v>
      </c>
      <c r="B39" s="37">
        <f t="shared" ref="B39:L39" si="15">MAX(B7:B37)</f>
        <v>0</v>
      </c>
      <c r="C39" s="37">
        <f t="shared" si="15"/>
        <v>0</v>
      </c>
      <c r="D39" s="37">
        <f t="shared" si="15"/>
        <v>0</v>
      </c>
      <c r="E39" s="37">
        <f t="shared" si="15"/>
        <v>0</v>
      </c>
      <c r="F39" s="37">
        <f t="shared" si="15"/>
        <v>0</v>
      </c>
      <c r="G39" s="37">
        <f t="shared" si="15"/>
        <v>0</v>
      </c>
      <c r="H39" s="37">
        <f t="shared" si="15"/>
        <v>0</v>
      </c>
      <c r="I39" s="37">
        <f t="shared" si="15"/>
        <v>0</v>
      </c>
      <c r="J39" s="37">
        <f t="shared" si="15"/>
        <v>0</v>
      </c>
      <c r="K39" s="58">
        <f t="shared" si="15"/>
        <v>0</v>
      </c>
      <c r="L39" s="38">
        <f t="shared" si="15"/>
        <v>0</v>
      </c>
      <c r="M39" s="47">
        <f t="shared" ref="M39:S39" si="16">MAX(M7:M34)</f>
        <v>0</v>
      </c>
      <c r="N39" s="37">
        <f t="shared" si="16"/>
        <v>0</v>
      </c>
      <c r="O39" s="38">
        <f t="shared" si="16"/>
        <v>0</v>
      </c>
      <c r="P39" s="37">
        <f t="shared" si="16"/>
        <v>0</v>
      </c>
      <c r="Q39" s="37">
        <f t="shared" si="16"/>
        <v>0</v>
      </c>
      <c r="R39" s="37">
        <f t="shared" si="16"/>
        <v>0</v>
      </c>
      <c r="S39" s="38">
        <f t="shared" si="16"/>
        <v>0</v>
      </c>
      <c r="T39" s="38">
        <f t="shared" ref="T39:AG39" si="17">MAX(T7:T37)</f>
        <v>0</v>
      </c>
      <c r="U39" s="77">
        <f t="shared" si="17"/>
        <v>0</v>
      </c>
      <c r="V39" s="77">
        <f t="shared" si="17"/>
        <v>0</v>
      </c>
      <c r="W39" s="77">
        <f t="shared" si="17"/>
        <v>0</v>
      </c>
      <c r="X39" s="77">
        <f t="shared" si="17"/>
        <v>0</v>
      </c>
      <c r="Y39" s="77">
        <f t="shared" si="17"/>
        <v>0</v>
      </c>
      <c r="Z39" s="77">
        <f t="shared" si="17"/>
        <v>0</v>
      </c>
      <c r="AA39" s="77">
        <f t="shared" si="17"/>
        <v>0</v>
      </c>
      <c r="AB39" s="77">
        <f t="shared" si="17"/>
        <v>0</v>
      </c>
      <c r="AC39" s="77">
        <f t="shared" si="17"/>
        <v>0</v>
      </c>
      <c r="AD39" s="77">
        <f t="shared" si="17"/>
        <v>0</v>
      </c>
      <c r="AE39" s="77">
        <f t="shared" si="17"/>
        <v>0</v>
      </c>
      <c r="AF39" s="77">
        <f t="shared" si="17"/>
        <v>0</v>
      </c>
      <c r="AG39" s="59">
        <f t="shared" si="17"/>
        <v>0</v>
      </c>
      <c r="AI39" s="51" t="str">
        <f>IF(COUNT(AI5:AI37)&gt;1,STDEV(AI5:AI37),"")</f>
        <v/>
      </c>
    </row>
    <row r="40" spans="1:37" ht="17.25" customHeight="1" x14ac:dyDescent="0.25">
      <c r="A40" s="105" t="s">
        <v>19</v>
      </c>
      <c r="B40" s="95" t="e">
        <f t="shared" ref="B40:L40" si="18">AVERAGE(B7:B37)</f>
        <v>#DIV/0!</v>
      </c>
      <c r="C40" s="95" t="e">
        <f t="shared" si="18"/>
        <v>#DIV/0!</v>
      </c>
      <c r="D40" s="95" t="e">
        <f t="shared" si="18"/>
        <v>#DIV/0!</v>
      </c>
      <c r="E40" s="95" t="e">
        <f t="shared" si="18"/>
        <v>#DIV/0!</v>
      </c>
      <c r="F40" s="95" t="e">
        <f t="shared" si="18"/>
        <v>#DIV/0!</v>
      </c>
      <c r="G40" s="95" t="e">
        <f t="shared" si="18"/>
        <v>#DIV/0!</v>
      </c>
      <c r="H40" s="95" t="e">
        <f t="shared" si="18"/>
        <v>#DIV/0!</v>
      </c>
      <c r="I40" s="95" t="e">
        <f t="shared" si="18"/>
        <v>#DIV/0!</v>
      </c>
      <c r="J40" s="95" t="e">
        <f t="shared" si="18"/>
        <v>#DIV/0!</v>
      </c>
      <c r="K40" s="96" t="e">
        <f t="shared" si="18"/>
        <v>#DIV/0!</v>
      </c>
      <c r="L40" s="97" t="e">
        <f t="shared" si="18"/>
        <v>#DIV/0!</v>
      </c>
      <c r="M40" s="98" t="e">
        <f>IF(B40=0,"",(100*(E40-0.7*G40))/(2.8*B40+1.18*C40+0.65*D40))</f>
        <v>#DIV/0!</v>
      </c>
      <c r="N40" s="95" t="e">
        <f>+IF(B40=0,"",B40/(C40+D40))</f>
        <v>#DIV/0!</v>
      </c>
      <c r="O40" s="97" t="e">
        <f>IF(C40=0,"",C40/D40)</f>
        <v>#DIV/0!</v>
      </c>
      <c r="P40" s="99" t="e">
        <f>IF(B40=0,"",4.07*(E40)-7.6*B40-6.72*C40-1.43*D40-2.85*G40)</f>
        <v>#DIV/0!</v>
      </c>
      <c r="Q40" s="95" t="e">
        <f>IF(B40=0,"",2.87*B40-0.754*P40)</f>
        <v>#DIV/0!</v>
      </c>
      <c r="R40" s="95" t="e">
        <f>IF(C40=0,"",2.65*C40-1.69*D40)</f>
        <v>#DIV/0!</v>
      </c>
      <c r="S40" s="97" t="e">
        <f>IF(D40=0,"",3.04*D40)</f>
        <v>#DIV/0!</v>
      </c>
      <c r="T40" s="100" t="e">
        <f>(1.13*R40)+(1.35*S40)+F40+J40</f>
        <v>#DIV/0!</v>
      </c>
      <c r="U40" s="101" t="e">
        <f t="shared" ref="U40:AG40" si="19">AVERAGE(U7:U37)</f>
        <v>#DIV/0!</v>
      </c>
      <c r="V40" s="101" t="e">
        <f t="shared" si="19"/>
        <v>#DIV/0!</v>
      </c>
      <c r="W40" s="101" t="e">
        <f t="shared" si="19"/>
        <v>#DIV/0!</v>
      </c>
      <c r="X40" s="101" t="e">
        <f t="shared" si="19"/>
        <v>#DIV/0!</v>
      </c>
      <c r="Y40" s="101" t="e">
        <f t="shared" si="19"/>
        <v>#DIV/0!</v>
      </c>
      <c r="Z40" s="101" t="e">
        <f t="shared" si="19"/>
        <v>#DIV/0!</v>
      </c>
      <c r="AA40" s="101" t="e">
        <f t="shared" si="19"/>
        <v>#DIV/0!</v>
      </c>
      <c r="AB40" s="101" t="e">
        <f t="shared" si="19"/>
        <v>#DIV/0!</v>
      </c>
      <c r="AC40" s="101" t="e">
        <f t="shared" si="19"/>
        <v>#DIV/0!</v>
      </c>
      <c r="AD40" s="101" t="e">
        <f t="shared" si="19"/>
        <v>#DIV/0!</v>
      </c>
      <c r="AE40" s="101" t="e">
        <f t="shared" si="19"/>
        <v>#DIV/0!</v>
      </c>
      <c r="AF40" s="101" t="e">
        <f t="shared" si="19"/>
        <v>#DIV/0!</v>
      </c>
      <c r="AG40" s="102" t="e">
        <f t="shared" si="19"/>
        <v>#DIV/0!</v>
      </c>
      <c r="AI40" s="51" t="str">
        <f>IF(AI38="","",MAX(AI5:AI37))</f>
        <v/>
      </c>
    </row>
    <row r="41" spans="1:37" ht="17.25" customHeight="1" thickBot="1" x14ac:dyDescent="0.3">
      <c r="A41" s="106" t="s">
        <v>20</v>
      </c>
      <c r="B41" s="78" t="e">
        <f t="shared" ref="B41:L41" si="20">STDEV(B7:B37)</f>
        <v>#DIV/0!</v>
      </c>
      <c r="C41" s="78" t="e">
        <f t="shared" si="20"/>
        <v>#DIV/0!</v>
      </c>
      <c r="D41" s="78" t="e">
        <f t="shared" si="20"/>
        <v>#DIV/0!</v>
      </c>
      <c r="E41" s="78" t="e">
        <f t="shared" si="20"/>
        <v>#DIV/0!</v>
      </c>
      <c r="F41" s="78" t="e">
        <f t="shared" si="20"/>
        <v>#DIV/0!</v>
      </c>
      <c r="G41" s="78" t="e">
        <f t="shared" si="20"/>
        <v>#DIV/0!</v>
      </c>
      <c r="H41" s="78" t="e">
        <f t="shared" si="20"/>
        <v>#DIV/0!</v>
      </c>
      <c r="I41" s="78" t="e">
        <f t="shared" si="20"/>
        <v>#DIV/0!</v>
      </c>
      <c r="J41" s="78" t="e">
        <f t="shared" si="20"/>
        <v>#DIV/0!</v>
      </c>
      <c r="K41" s="79" t="e">
        <f t="shared" si="20"/>
        <v>#DIV/0!</v>
      </c>
      <c r="L41" s="80" t="e">
        <f t="shared" si="20"/>
        <v>#DIV/0!</v>
      </c>
      <c r="M41" s="81" t="e">
        <f t="shared" ref="M41:T41" si="21">STDEV(M7:M34)</f>
        <v>#DIV/0!</v>
      </c>
      <c r="N41" s="78" t="e">
        <f t="shared" si="21"/>
        <v>#DIV/0!</v>
      </c>
      <c r="O41" s="80" t="e">
        <f t="shared" si="21"/>
        <v>#DIV/0!</v>
      </c>
      <c r="P41" s="78" t="e">
        <f t="shared" si="21"/>
        <v>#DIV/0!</v>
      </c>
      <c r="Q41" s="78" t="e">
        <f t="shared" si="21"/>
        <v>#DIV/0!</v>
      </c>
      <c r="R41" s="78" t="e">
        <f t="shared" si="21"/>
        <v>#DIV/0!</v>
      </c>
      <c r="S41" s="80" t="e">
        <f t="shared" si="21"/>
        <v>#DIV/0!</v>
      </c>
      <c r="T41" s="80" t="e">
        <f t="shared" si="21"/>
        <v>#DIV/0!</v>
      </c>
      <c r="U41" s="82" t="e">
        <f>STDEV(U7:U37)</f>
        <v>#DIV/0!</v>
      </c>
      <c r="V41" s="82" t="e">
        <f t="shared" ref="V41:AG41" si="22">STDEV(V7:V37)</f>
        <v>#DIV/0!</v>
      </c>
      <c r="W41" s="82" t="e">
        <f t="shared" si="22"/>
        <v>#DIV/0!</v>
      </c>
      <c r="X41" s="82" t="e">
        <f t="shared" si="22"/>
        <v>#DIV/0!</v>
      </c>
      <c r="Y41" s="82" t="e">
        <f t="shared" si="22"/>
        <v>#DIV/0!</v>
      </c>
      <c r="Z41" s="82" t="e">
        <f t="shared" si="22"/>
        <v>#DIV/0!</v>
      </c>
      <c r="AA41" s="82" t="e">
        <f t="shared" si="22"/>
        <v>#DIV/0!</v>
      </c>
      <c r="AB41" s="82" t="e">
        <f t="shared" si="22"/>
        <v>#DIV/0!</v>
      </c>
      <c r="AC41" s="82" t="e">
        <f t="shared" si="22"/>
        <v>#DIV/0!</v>
      </c>
      <c r="AD41" s="82" t="e">
        <f t="shared" si="22"/>
        <v>#DIV/0!</v>
      </c>
      <c r="AE41" s="82" t="e">
        <f t="shared" si="22"/>
        <v>#DIV/0!</v>
      </c>
      <c r="AF41" s="82" t="e">
        <f t="shared" si="22"/>
        <v>#DIV/0!</v>
      </c>
      <c r="AG41" s="83" t="e">
        <f t="shared" si="22"/>
        <v>#DIV/0!</v>
      </c>
      <c r="AI41" s="84" t="str">
        <f>IF(AI38="","",MIN(AI5:AI37))</f>
        <v/>
      </c>
    </row>
    <row r="42" spans="1:37" ht="15.6" x14ac:dyDescent="0.3">
      <c r="A42" s="85"/>
      <c r="B42" s="86"/>
      <c r="C42" s="86"/>
      <c r="D42" s="86"/>
      <c r="E42" s="86"/>
      <c r="F42" s="86"/>
      <c r="G42" s="87"/>
      <c r="H42" s="86"/>
      <c r="I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7"/>
      <c r="W42" s="88"/>
      <c r="X42" s="89"/>
      <c r="Y42" s="86"/>
      <c r="Z42" s="90"/>
      <c r="AA42" s="91"/>
      <c r="AB42" s="91"/>
      <c r="AC42" s="92"/>
      <c r="AD42" s="92"/>
      <c r="AE42" s="92"/>
      <c r="AF42" s="93"/>
      <c r="AG42" s="86"/>
    </row>
    <row r="44" spans="1:37" ht="20.100000000000001" customHeight="1" x14ac:dyDescent="0.25">
      <c r="A44" s="109">
        <v>42126</v>
      </c>
      <c r="B44" s="41"/>
      <c r="C44" s="41"/>
      <c r="D44" s="41"/>
      <c r="E44" s="41"/>
      <c r="F44" s="41"/>
      <c r="G44" s="41"/>
      <c r="H44" s="41"/>
      <c r="I44" s="41"/>
      <c r="J44" s="37" t="str">
        <f t="shared" ref="J44:J49" si="23">IF(H44=0,"",(0.658*H44+I44))</f>
        <v/>
      </c>
      <c r="K44" s="48"/>
      <c r="L44" s="42"/>
      <c r="M44" s="40" t="str">
        <f t="shared" ref="M44:M49" si="24">IF(B44=0,"",(100*(E44-0.7*G44))/(2.8*B44+1.18*C44+0.65*D44))</f>
        <v/>
      </c>
      <c r="N44" s="37" t="str">
        <f t="shared" ref="N44:N49" si="25">+IF(B44=0,"",B44/(C44+D44))</f>
        <v/>
      </c>
      <c r="O44" s="38" t="str">
        <f t="shared" ref="O44:O49" si="26">IF(C44=0,"",C44/D44)</f>
        <v/>
      </c>
      <c r="P44" s="44" t="str">
        <f t="shared" ref="P44:P49" si="27">IF(B44=0,"",4.07*(E44)-7.6*B44-6.72*C44-1.43*D44-2.85*G44)</f>
        <v/>
      </c>
      <c r="Q44" s="41" t="str">
        <f t="shared" ref="Q44:Q49" si="28">IF(B44=0,"",2.87*B44-0.754*P44)</f>
        <v/>
      </c>
      <c r="R44" s="41" t="str">
        <f t="shared" ref="R44:R49" si="29">IF(C44=0,"",2.65*C44-1.69*D44)</f>
        <v/>
      </c>
      <c r="S44" s="42" t="str">
        <f t="shared" ref="S44:S49" si="30">IF(D44=0,"",3.04*D44)</f>
        <v/>
      </c>
      <c r="T44" s="45" t="str">
        <f t="shared" ref="T44:T49" si="31">IF(R44="","",(1.13*R44)+(1.35*S44)+F44+J44)</f>
        <v/>
      </c>
      <c r="U44" s="52"/>
      <c r="V44" s="23"/>
      <c r="W44" s="7"/>
      <c r="X44" s="9"/>
      <c r="Y44" s="9"/>
      <c r="Z44" s="15"/>
      <c r="AA44" s="14"/>
      <c r="AB44" s="14"/>
      <c r="AC44" s="24"/>
      <c r="AD44" s="24"/>
      <c r="AE44" s="16"/>
      <c r="AF44" s="35"/>
      <c r="AG44" s="54" t="str">
        <f t="shared" ref="AG44:AG49" si="32">IF(E44=0,"",4.07*(E44-L44)-7.6*B44-6.72*C44-1.43*D44)</f>
        <v/>
      </c>
      <c r="AI44" s="51" t="str">
        <f t="shared" ref="AI44:AI49" si="33">IF(Q44="","",2.95*C44+2.2*D44+F44+H44+I44)</f>
        <v/>
      </c>
      <c r="AJ44" s="285" t="s">
        <v>48</v>
      </c>
      <c r="AK44" s="286"/>
    </row>
    <row r="45" spans="1:37" ht="20.100000000000001" customHeight="1" x14ac:dyDescent="0.25">
      <c r="A45" s="109">
        <v>42127</v>
      </c>
      <c r="B45" s="41">
        <v>21.51</v>
      </c>
      <c r="C45" s="41">
        <v>4.47</v>
      </c>
      <c r="D45" s="41">
        <v>4.57</v>
      </c>
      <c r="E45" s="41">
        <v>63.17</v>
      </c>
      <c r="F45" s="41">
        <v>4.79</v>
      </c>
      <c r="G45" s="41">
        <v>1.1000000000000001</v>
      </c>
      <c r="H45" s="41">
        <v>0.53</v>
      </c>
      <c r="I45" s="41">
        <v>0.16</v>
      </c>
      <c r="J45" s="37">
        <f t="shared" si="23"/>
        <v>0.50874000000000008</v>
      </c>
      <c r="K45" s="48">
        <v>0.08</v>
      </c>
      <c r="L45" s="42">
        <v>1.21</v>
      </c>
      <c r="M45" s="40">
        <f t="shared" si="24"/>
        <v>91.130677594559032</v>
      </c>
      <c r="N45" s="37">
        <f t="shared" si="25"/>
        <v>2.3794247787610625</v>
      </c>
      <c r="O45" s="38">
        <f t="shared" si="26"/>
        <v>0.97811816192560164</v>
      </c>
      <c r="P45" s="44">
        <f t="shared" si="27"/>
        <v>53.917400000000008</v>
      </c>
      <c r="Q45" s="41">
        <f t="shared" si="28"/>
        <v>21.079980399999997</v>
      </c>
      <c r="R45" s="41">
        <f t="shared" si="29"/>
        <v>4.1221999999999994</v>
      </c>
      <c r="S45" s="42">
        <f t="shared" si="30"/>
        <v>13.892800000000001</v>
      </c>
      <c r="T45" s="45">
        <f t="shared" si="31"/>
        <v>28.712106000000002</v>
      </c>
      <c r="U45" s="52"/>
      <c r="V45" s="23"/>
      <c r="W45" s="7"/>
      <c r="X45" s="9"/>
      <c r="Y45" s="9"/>
      <c r="Z45" s="15"/>
      <c r="AA45" s="14"/>
      <c r="AB45" s="14"/>
      <c r="AC45" s="24"/>
      <c r="AD45" s="24"/>
      <c r="AE45" s="16"/>
      <c r="AF45" s="35"/>
      <c r="AG45" s="54">
        <f t="shared" si="32"/>
        <v>52.127700000000033</v>
      </c>
      <c r="AI45" s="51">
        <f t="shared" si="33"/>
        <v>28.720500000000005</v>
      </c>
      <c r="AJ45" s="285" t="s">
        <v>48</v>
      </c>
      <c r="AK45" s="286"/>
    </row>
    <row r="46" spans="1:37" ht="18" customHeight="1" x14ac:dyDescent="0.25">
      <c r="A46" s="109">
        <v>42128</v>
      </c>
      <c r="B46" s="41">
        <v>20.96</v>
      </c>
      <c r="C46" s="41">
        <v>4.45</v>
      </c>
      <c r="D46" s="41">
        <v>4.3899999999999997</v>
      </c>
      <c r="E46" s="41">
        <v>63.98</v>
      </c>
      <c r="F46" s="41">
        <v>4.3099999999999996</v>
      </c>
      <c r="G46" s="41">
        <v>1.21</v>
      </c>
      <c r="H46" s="41">
        <v>0.59</v>
      </c>
      <c r="I46" s="41">
        <v>0.15</v>
      </c>
      <c r="J46" s="37">
        <f t="shared" si="23"/>
        <v>0.53822000000000003</v>
      </c>
      <c r="K46" s="48">
        <v>0.08</v>
      </c>
      <c r="L46" s="42">
        <v>1.44</v>
      </c>
      <c r="M46" s="40">
        <f t="shared" si="24"/>
        <v>94.521091439907181</v>
      </c>
      <c r="N46" s="37">
        <f t="shared" si="25"/>
        <v>2.3710407239819005</v>
      </c>
      <c r="O46" s="38">
        <f t="shared" si="26"/>
        <v>1.0136674259681095</v>
      </c>
      <c r="P46" s="44">
        <f t="shared" si="27"/>
        <v>61.4724</v>
      </c>
      <c r="Q46" s="41">
        <f t="shared" si="28"/>
        <v>13.805010400000008</v>
      </c>
      <c r="R46" s="41">
        <f t="shared" si="29"/>
        <v>4.3734000000000011</v>
      </c>
      <c r="S46" s="42">
        <f t="shared" si="30"/>
        <v>13.345599999999999</v>
      </c>
      <c r="T46" s="45">
        <f t="shared" si="31"/>
        <v>27.806722000000001</v>
      </c>
      <c r="U46" s="52"/>
      <c r="V46" s="23"/>
      <c r="W46" s="7"/>
      <c r="X46" s="9"/>
      <c r="Y46" s="9"/>
      <c r="Z46" s="15"/>
      <c r="AA46" s="14"/>
      <c r="AB46" s="14"/>
      <c r="AC46" s="24"/>
      <c r="AD46" s="24"/>
      <c r="AE46" s="16"/>
      <c r="AF46" s="35"/>
      <c r="AG46" s="54">
        <f t="shared" si="32"/>
        <v>59.06010000000002</v>
      </c>
      <c r="AI46" s="51">
        <f t="shared" si="33"/>
        <v>27.835499999999996</v>
      </c>
      <c r="AJ46" s="285" t="s">
        <v>48</v>
      </c>
      <c r="AK46" s="286"/>
    </row>
    <row r="47" spans="1:37" ht="18" customHeight="1" x14ac:dyDescent="0.25">
      <c r="A47" s="109">
        <v>42103</v>
      </c>
      <c r="B47" s="41">
        <v>21.03</v>
      </c>
      <c r="C47" s="41">
        <v>4.95</v>
      </c>
      <c r="D47" s="41">
        <v>3.83</v>
      </c>
      <c r="E47" s="41">
        <v>64.03</v>
      </c>
      <c r="F47" s="41">
        <v>4.3499999999999996</v>
      </c>
      <c r="G47" s="41">
        <v>1.1399999999999999</v>
      </c>
      <c r="H47" s="41">
        <v>0.59</v>
      </c>
      <c r="I47" s="41">
        <v>0.15</v>
      </c>
      <c r="J47" s="37">
        <f t="shared" si="23"/>
        <v>0.53822000000000003</v>
      </c>
      <c r="K47" s="48">
        <v>7.0000000000000007E-2</v>
      </c>
      <c r="L47" s="42">
        <v>1.44</v>
      </c>
      <c r="M47" s="40">
        <f t="shared" si="24"/>
        <v>94.074939187228935</v>
      </c>
      <c r="N47" s="37">
        <f t="shared" si="25"/>
        <v>2.3952164009111616</v>
      </c>
      <c r="O47" s="38">
        <f t="shared" si="26"/>
        <v>1.2924281984334205</v>
      </c>
      <c r="P47" s="44">
        <f t="shared" si="27"/>
        <v>58.784199999999991</v>
      </c>
      <c r="Q47" s="41">
        <f t="shared" si="28"/>
        <v>16.032813200000014</v>
      </c>
      <c r="R47" s="41">
        <f t="shared" si="29"/>
        <v>6.6448</v>
      </c>
      <c r="S47" s="42">
        <f t="shared" si="30"/>
        <v>11.6432</v>
      </c>
      <c r="T47" s="45">
        <f t="shared" si="31"/>
        <v>28.115164000000004</v>
      </c>
      <c r="U47" s="52"/>
      <c r="V47" s="23"/>
      <c r="W47" s="7"/>
      <c r="X47" s="9"/>
      <c r="Y47" s="9"/>
      <c r="Z47" s="15"/>
      <c r="AA47" s="14"/>
      <c r="AB47" s="14"/>
      <c r="AC47" s="24"/>
      <c r="AD47" s="24"/>
      <c r="AE47" s="16"/>
      <c r="AF47" s="35"/>
      <c r="AG47" s="54">
        <f t="shared" si="32"/>
        <v>56.172400000000017</v>
      </c>
      <c r="AI47" s="51">
        <f t="shared" si="33"/>
        <v>28.118500000000001</v>
      </c>
      <c r="AJ47" s="285" t="s">
        <v>48</v>
      </c>
      <c r="AK47" s="286"/>
    </row>
    <row r="48" spans="1:37" ht="18" customHeight="1" x14ac:dyDescent="0.25">
      <c r="A48" s="108">
        <v>42104</v>
      </c>
      <c r="B48" s="41">
        <v>21.54</v>
      </c>
      <c r="C48" s="41">
        <v>4.49</v>
      </c>
      <c r="D48" s="41">
        <v>4.47</v>
      </c>
      <c r="E48" s="41">
        <v>63.78</v>
      </c>
      <c r="F48" s="41">
        <v>4.53</v>
      </c>
      <c r="G48" s="41">
        <v>1.1200000000000001</v>
      </c>
      <c r="H48" s="41">
        <v>0.55000000000000004</v>
      </c>
      <c r="I48" s="41">
        <v>0.15</v>
      </c>
      <c r="J48" s="37">
        <f t="shared" si="23"/>
        <v>0.51190000000000002</v>
      </c>
      <c r="K48" s="48">
        <v>0.08</v>
      </c>
      <c r="L48" s="42">
        <v>1.52</v>
      </c>
      <c r="M48" s="40">
        <f t="shared" si="24"/>
        <v>91.943890232457676</v>
      </c>
      <c r="N48" s="37">
        <f t="shared" si="25"/>
        <v>2.4040178571428568</v>
      </c>
      <c r="O48" s="38">
        <f t="shared" si="26"/>
        <v>1.0044742729306488</v>
      </c>
      <c r="P48" s="44">
        <f t="shared" si="27"/>
        <v>56.123700000000049</v>
      </c>
      <c r="Q48" s="41">
        <f t="shared" si="28"/>
        <v>19.502530199999967</v>
      </c>
      <c r="R48" s="41">
        <f t="shared" si="29"/>
        <v>4.3442000000000007</v>
      </c>
      <c r="S48" s="42">
        <f t="shared" si="30"/>
        <v>13.588799999999999</v>
      </c>
      <c r="T48" s="45">
        <f t="shared" si="31"/>
        <v>28.295726000000002</v>
      </c>
      <c r="U48" s="52"/>
      <c r="V48" s="23"/>
      <c r="W48" s="7"/>
      <c r="X48" s="9"/>
      <c r="Y48" s="9"/>
      <c r="Z48" s="15"/>
      <c r="AA48" s="14"/>
      <c r="AB48" s="14"/>
      <c r="AC48" s="24"/>
      <c r="AD48" s="24"/>
      <c r="AE48" s="16"/>
      <c r="AF48" s="35"/>
      <c r="AG48" s="54">
        <f t="shared" si="32"/>
        <v>53.129300000000029</v>
      </c>
      <c r="AI48" s="51">
        <f t="shared" si="33"/>
        <v>28.309500000000003</v>
      </c>
      <c r="AJ48" s="285" t="s">
        <v>48</v>
      </c>
      <c r="AK48" s="286"/>
    </row>
    <row r="49" spans="1:37" ht="18" customHeight="1" x14ac:dyDescent="0.25">
      <c r="A49" s="107"/>
      <c r="B49" s="41">
        <v>21.36</v>
      </c>
      <c r="C49" s="41">
        <v>4.4800000000000004</v>
      </c>
      <c r="D49" s="41">
        <v>4.4000000000000004</v>
      </c>
      <c r="E49" s="41">
        <v>63.57</v>
      </c>
      <c r="F49" s="41">
        <v>4.59</v>
      </c>
      <c r="G49" s="41">
        <v>1.2</v>
      </c>
      <c r="H49" s="41">
        <v>0.63</v>
      </c>
      <c r="I49" s="41">
        <v>0.15</v>
      </c>
      <c r="J49" s="37">
        <f t="shared" si="23"/>
        <v>0.56454000000000004</v>
      </c>
      <c r="K49" s="48">
        <v>7.0000000000000007E-2</v>
      </c>
      <c r="L49" s="42"/>
      <c r="M49" s="40">
        <f t="shared" si="24"/>
        <v>92.311903276314709</v>
      </c>
      <c r="N49" s="37">
        <f t="shared" si="25"/>
        <v>2.4054054054054053</v>
      </c>
      <c r="O49" s="38">
        <f t="shared" si="26"/>
        <v>1.0181818181818183</v>
      </c>
      <c r="P49" s="44">
        <f t="shared" si="27"/>
        <v>56.576300000000046</v>
      </c>
      <c r="Q49" s="41">
        <f t="shared" si="28"/>
        <v>18.644669799999967</v>
      </c>
      <c r="R49" s="41">
        <f t="shared" si="29"/>
        <v>4.4359999999999999</v>
      </c>
      <c r="S49" s="42">
        <f t="shared" si="30"/>
        <v>13.376000000000001</v>
      </c>
      <c r="T49" s="45">
        <f t="shared" si="31"/>
        <v>28.224820000000005</v>
      </c>
      <c r="U49" s="52"/>
      <c r="V49" s="23"/>
      <c r="W49" s="7"/>
      <c r="X49" s="9"/>
      <c r="Y49" s="9"/>
      <c r="Z49" s="15"/>
      <c r="AA49" s="14"/>
      <c r="AB49" s="14"/>
      <c r="AC49" s="24"/>
      <c r="AD49" s="24"/>
      <c r="AE49" s="16"/>
      <c r="AF49" s="35"/>
      <c r="AG49" s="54">
        <f t="shared" si="32"/>
        <v>59.996300000000048</v>
      </c>
      <c r="AI49" s="51">
        <f t="shared" si="33"/>
        <v>28.266000000000002</v>
      </c>
      <c r="AJ49" s="285" t="s">
        <v>48</v>
      </c>
      <c r="AK49" s="286"/>
    </row>
    <row r="50" spans="1:37" ht="18" customHeight="1" x14ac:dyDescent="0.25">
      <c r="A50" s="107"/>
      <c r="B50" s="41"/>
      <c r="C50" s="41"/>
      <c r="D50" s="41"/>
      <c r="E50" s="41"/>
      <c r="F50" s="41"/>
      <c r="G50" s="41"/>
      <c r="H50" s="41"/>
      <c r="I50" s="41"/>
      <c r="J50" s="37" t="str">
        <f>IF(H50=0,"",(0.658*H50+I50))</f>
        <v/>
      </c>
      <c r="K50" s="48"/>
      <c r="L50" s="42"/>
      <c r="M50" s="40" t="str">
        <f>IF(B50=0,"",(100*(E50-0.7*G50))/(2.8*B50+1.18*C50+0.65*D50))</f>
        <v/>
      </c>
      <c r="N50" s="37" t="str">
        <f>+IF(B50=0,"",B50/(C50+D50))</f>
        <v/>
      </c>
      <c r="O50" s="38" t="str">
        <f>IF(C50=0,"",C50/D50)</f>
        <v/>
      </c>
      <c r="P50" s="44" t="str">
        <f>IF(B50=0,"",4.07*(E50)-7.6*B50-6.72*C50-1.43*D50-2.85*G50)</f>
        <v/>
      </c>
      <c r="Q50" s="41" t="str">
        <f>IF(B50=0,"",2.87*B50-0.754*P50)</f>
        <v/>
      </c>
      <c r="R50" s="41" t="str">
        <f>IF(C50=0,"",2.65*C50-1.69*D50)</f>
        <v/>
      </c>
      <c r="S50" s="42" t="str">
        <f>IF(D50=0,"",3.04*D50)</f>
        <v/>
      </c>
      <c r="T50" s="45" t="str">
        <f>IF(R50="","",(1.13*R50)+(1.35*S50)+F50+J50)</f>
        <v/>
      </c>
      <c r="U50" s="52"/>
      <c r="V50" s="23"/>
      <c r="W50" s="7"/>
      <c r="X50" s="9"/>
      <c r="Y50" s="9"/>
      <c r="Z50" s="15"/>
      <c r="AA50" s="14"/>
      <c r="AB50" s="14"/>
      <c r="AC50" s="24"/>
      <c r="AD50" s="24"/>
      <c r="AE50" s="16"/>
      <c r="AF50" s="35"/>
      <c r="AG50" s="54" t="str">
        <f>IF(E50=0,"",4.07*(E50-L50)-7.6*B50-6.72*C50-1.43*D50)</f>
        <v/>
      </c>
      <c r="AI50" s="51" t="str">
        <f>IF(Q50="","",2.95*C50+2.2*D50+F50+H50+I50)</f>
        <v/>
      </c>
      <c r="AJ50" s="285" t="s">
        <v>48</v>
      </c>
      <c r="AK50" s="286"/>
    </row>
    <row r="51" spans="1:37" ht="18" customHeight="1" x14ac:dyDescent="0.25">
      <c r="A51" s="107"/>
      <c r="B51" s="41"/>
      <c r="C51" s="41"/>
      <c r="D51" s="41"/>
      <c r="E51" s="41"/>
      <c r="F51" s="41"/>
      <c r="G51" s="41"/>
      <c r="H51" s="41"/>
      <c r="I51" s="41"/>
      <c r="J51" s="37" t="str">
        <f>IF(H51=0,"",(0.658*H51+I51))</f>
        <v/>
      </c>
      <c r="K51" s="48"/>
      <c r="L51" s="42"/>
      <c r="M51" s="40" t="str">
        <f>IF(B51=0,"",(100*(E51-0.7*G51))/(2.8*B51+1.18*C51+0.65*D51))</f>
        <v/>
      </c>
      <c r="N51" s="37" t="str">
        <f>+IF(B51=0,"",B51/(C51+D51))</f>
        <v/>
      </c>
      <c r="O51" s="38" t="str">
        <f>IF(C51=0,"",C51/D51)</f>
        <v/>
      </c>
      <c r="P51" s="44" t="str">
        <f>IF(B51=0,"",4.07*(E51)-7.6*B51-6.72*C51-1.43*D51-2.85*G51)</f>
        <v/>
      </c>
      <c r="Q51" s="41" t="str">
        <f>IF(B51=0,"",2.87*B51-0.754*P51)</f>
        <v/>
      </c>
      <c r="R51" s="41" t="str">
        <f>IF(C51=0,"",2.65*C51-1.69*D51)</f>
        <v/>
      </c>
      <c r="S51" s="42" t="str">
        <f>IF(D51=0,"",3.04*D51)</f>
        <v/>
      </c>
      <c r="T51" s="45" t="str">
        <f>IF(R51="","",(1.13*R51)+(1.35*S51)+F51+J51)</f>
        <v/>
      </c>
      <c r="U51" s="52"/>
      <c r="V51" s="23"/>
      <c r="W51" s="7"/>
      <c r="X51" s="9"/>
      <c r="Y51" s="9"/>
      <c r="Z51" s="15"/>
      <c r="AA51" s="14"/>
      <c r="AB51" s="14"/>
      <c r="AC51" s="24"/>
      <c r="AD51" s="24"/>
      <c r="AE51" s="16"/>
      <c r="AF51" s="35"/>
      <c r="AG51" s="54" t="str">
        <f>IF(E51=0,"",4.07*(E51-L51)-7.6*B51-6.72*C51-1.43*D51)</f>
        <v/>
      </c>
      <c r="AI51" s="51" t="str">
        <f>IF(Q51="","",2.95*C51+2.2*D51+F51+H51+I51)</f>
        <v/>
      </c>
      <c r="AJ51" s="285" t="s">
        <v>48</v>
      </c>
      <c r="AK51" s="286"/>
    </row>
    <row r="52" spans="1:37" ht="18" customHeight="1" x14ac:dyDescent="0.25">
      <c r="A52" s="107"/>
      <c r="B52" s="41"/>
      <c r="C52" s="41"/>
      <c r="D52" s="41"/>
      <c r="E52" s="41"/>
      <c r="F52" s="41"/>
      <c r="G52" s="41"/>
      <c r="H52" s="41"/>
      <c r="I52" s="41"/>
      <c r="J52" s="37" t="str">
        <f>IF(H52=0,"",(0.658*H52+I52))</f>
        <v/>
      </c>
      <c r="K52" s="48"/>
      <c r="L52" s="42"/>
      <c r="M52" s="40" t="str">
        <f>IF(B52=0,"",(100*(E52-0.7*G52))/(2.8*B52+1.18*C52+0.65*D52))</f>
        <v/>
      </c>
      <c r="N52" s="37" t="str">
        <f>+IF(B52=0,"",B52/(C52+D52))</f>
        <v/>
      </c>
      <c r="O52" s="38" t="str">
        <f>IF(C52=0,"",C52/D52)</f>
        <v/>
      </c>
      <c r="P52" s="44" t="str">
        <f>IF(B52=0,"",4.07*(E52)-7.6*B52-6.72*C52-1.43*D52-2.85*G52)</f>
        <v/>
      </c>
      <c r="Q52" s="41" t="str">
        <f>IF(B52=0,"",2.87*B52-0.754*P52)</f>
        <v/>
      </c>
      <c r="R52" s="41" t="str">
        <f>IF(C52=0,"",2.65*C52-1.69*D52)</f>
        <v/>
      </c>
      <c r="S52" s="42" t="str">
        <f>IF(D52=0,"",3.04*D52)</f>
        <v/>
      </c>
      <c r="T52" s="45" t="str">
        <f>IF(R52="","",(1.13*R52)+(1.35*S52)+F52+J52)</f>
        <v/>
      </c>
      <c r="U52" s="52"/>
      <c r="V52" s="23"/>
      <c r="W52" s="7"/>
      <c r="X52" s="9"/>
      <c r="Y52" s="9"/>
      <c r="Z52" s="15"/>
      <c r="AA52" s="14"/>
      <c r="AB52" s="14"/>
      <c r="AC52" s="24"/>
      <c r="AD52" s="24"/>
      <c r="AE52" s="16"/>
      <c r="AF52" s="35"/>
      <c r="AG52" s="54" t="str">
        <f>IF(E52=0,"",4.07*(E52-L52)-7.6*B52-6.72*C52-1.43*D52)</f>
        <v/>
      </c>
      <c r="AI52" s="51" t="str">
        <f>IF(Q52="","",2.95*C52+2.2*D52+F52+H52+I52)</f>
        <v/>
      </c>
      <c r="AJ52" s="285" t="s">
        <v>48</v>
      </c>
      <c r="AK52" s="286"/>
    </row>
    <row r="54" spans="1:37" ht="13.8" thickBot="1" x14ac:dyDescent="0.3"/>
    <row r="55" spans="1:37" ht="18.600000000000001" thickTop="1" x14ac:dyDescent="0.25">
      <c r="B55" s="110">
        <v>21.39</v>
      </c>
      <c r="C55" s="110">
        <v>5.23</v>
      </c>
      <c r="D55" s="110">
        <v>3.72</v>
      </c>
      <c r="E55" s="110">
        <v>64.180000000000007</v>
      </c>
      <c r="F55" s="110">
        <v>4.25</v>
      </c>
      <c r="G55" s="110">
        <v>1.02</v>
      </c>
      <c r="H55" s="111">
        <v>0.14000000000000001</v>
      </c>
      <c r="I55" s="110">
        <v>0.46</v>
      </c>
    </row>
    <row r="56" spans="1:37" ht="15.6" x14ac:dyDescent="0.25">
      <c r="B56" s="114">
        <v>21.03</v>
      </c>
      <c r="C56" s="112">
        <v>4.95</v>
      </c>
      <c r="D56" s="112">
        <v>3.83</v>
      </c>
      <c r="E56" s="112">
        <v>64.03</v>
      </c>
      <c r="F56" s="112">
        <v>4.3499999999999996</v>
      </c>
      <c r="G56" s="112">
        <v>1.1399999999999999</v>
      </c>
      <c r="H56" s="112">
        <v>0.15</v>
      </c>
      <c r="I56" s="112">
        <v>0.59</v>
      </c>
    </row>
    <row r="57" spans="1:37" ht="15.6" x14ac:dyDescent="0.25">
      <c r="B57" s="114">
        <v>21.45</v>
      </c>
      <c r="C57" s="112">
        <v>4.55</v>
      </c>
      <c r="D57" s="112">
        <v>4.42</v>
      </c>
      <c r="E57" s="112">
        <v>63.41</v>
      </c>
      <c r="F57" s="112">
        <v>4.63</v>
      </c>
      <c r="G57" s="112">
        <v>1.1599999999999999</v>
      </c>
      <c r="H57" s="112">
        <v>0.15</v>
      </c>
      <c r="I57" s="112">
        <v>0.56999999999999995</v>
      </c>
    </row>
    <row r="58" spans="1:37" ht="15.6" x14ac:dyDescent="0.25">
      <c r="B58" s="113">
        <v>21.24</v>
      </c>
      <c r="C58" s="113">
        <v>4.3899999999999997</v>
      </c>
      <c r="D58" s="113">
        <v>4.43</v>
      </c>
      <c r="E58" s="113">
        <v>63.49</v>
      </c>
      <c r="F58" s="113">
        <v>4.4000000000000004</v>
      </c>
      <c r="G58" s="113">
        <v>1.08</v>
      </c>
      <c r="H58" s="113">
        <v>0.15</v>
      </c>
      <c r="I58" s="113">
        <v>0.56999999999999995</v>
      </c>
    </row>
    <row r="59" spans="1:37" ht="15.6" x14ac:dyDescent="0.25">
      <c r="B59" s="113">
        <v>21.54</v>
      </c>
      <c r="C59" s="113">
        <v>4.49</v>
      </c>
      <c r="D59" s="113">
        <v>4.47</v>
      </c>
      <c r="E59" s="113">
        <v>63.78</v>
      </c>
      <c r="F59" s="113">
        <v>4.53</v>
      </c>
      <c r="G59" s="113">
        <v>1.1200000000000001</v>
      </c>
      <c r="H59" s="113">
        <v>0.15</v>
      </c>
      <c r="I59" s="113">
        <v>0.55000000000000004</v>
      </c>
    </row>
    <row r="60" spans="1:37" ht="15.6" x14ac:dyDescent="0.25">
      <c r="B60" s="114">
        <v>21.36</v>
      </c>
      <c r="C60" s="112">
        <v>4.4800000000000004</v>
      </c>
      <c r="D60" s="113">
        <v>4.4000000000000004</v>
      </c>
      <c r="E60" s="112">
        <v>63.57</v>
      </c>
      <c r="F60" s="112">
        <v>4.59</v>
      </c>
      <c r="G60" s="112">
        <v>1.2</v>
      </c>
      <c r="H60" s="112">
        <v>0.15</v>
      </c>
      <c r="I60" s="112">
        <v>0.63</v>
      </c>
    </row>
    <row r="61" spans="1:37" ht="15.6" x14ac:dyDescent="0.25">
      <c r="B61" s="114">
        <v>21.29</v>
      </c>
      <c r="C61" s="112">
        <v>4.42</v>
      </c>
      <c r="D61" s="112">
        <v>4.3899999999999997</v>
      </c>
      <c r="E61" s="112">
        <v>63.63</v>
      </c>
      <c r="F61" s="112">
        <v>4.55</v>
      </c>
      <c r="G61" s="112">
        <v>1.1100000000000001</v>
      </c>
      <c r="H61" s="112">
        <v>0.15</v>
      </c>
      <c r="I61" s="112">
        <v>0.61</v>
      </c>
    </row>
    <row r="62" spans="1:37" ht="15.6" x14ac:dyDescent="0.25">
      <c r="B62" s="114">
        <v>21.2</v>
      </c>
      <c r="C62" s="112">
        <v>4.3600000000000003</v>
      </c>
      <c r="D62" s="112">
        <v>4.43</v>
      </c>
      <c r="E62" s="112">
        <v>63.45</v>
      </c>
      <c r="F62" s="112">
        <v>4.7</v>
      </c>
      <c r="G62" s="112">
        <v>1.1200000000000001</v>
      </c>
      <c r="H62" s="112">
        <v>0.15</v>
      </c>
      <c r="I62" s="112">
        <v>0.61</v>
      </c>
    </row>
    <row r="63" spans="1:37" ht="15.6" x14ac:dyDescent="0.25">
      <c r="B63" s="112">
        <v>21.04</v>
      </c>
      <c r="C63" s="112">
        <v>5.13</v>
      </c>
      <c r="D63" s="112">
        <v>3.65</v>
      </c>
      <c r="E63" s="112">
        <v>64.48</v>
      </c>
      <c r="F63" s="112">
        <v>4.0199999999999996</v>
      </c>
      <c r="G63" s="112">
        <v>1.1299999999999999</v>
      </c>
      <c r="H63" s="112">
        <v>0.14000000000000001</v>
      </c>
      <c r="I63" s="112">
        <v>0.44</v>
      </c>
    </row>
  </sheetData>
  <mergeCells count="47">
    <mergeCell ref="AJ52:AK52"/>
    <mergeCell ref="AJ50:AK50"/>
    <mergeCell ref="AJ51:AK51"/>
    <mergeCell ref="AJ48:AK48"/>
    <mergeCell ref="AJ49:AK49"/>
    <mergeCell ref="O5:O6"/>
    <mergeCell ref="AA5:AB5"/>
    <mergeCell ref="P5:P6"/>
    <mergeCell ref="AG4:AG6"/>
    <mergeCell ref="AJ44:AK44"/>
    <mergeCell ref="AI4:AI6"/>
    <mergeCell ref="U4:U6"/>
    <mergeCell ref="Q5:Q6"/>
    <mergeCell ref="R5:R6"/>
    <mergeCell ref="S5:S6"/>
    <mergeCell ref="T5:T6"/>
    <mergeCell ref="X5:X6"/>
    <mergeCell ref="AJ47:AK47"/>
    <mergeCell ref="H5:H6"/>
    <mergeCell ref="V4:AE4"/>
    <mergeCell ref="J5:J6"/>
    <mergeCell ref="I5:I6"/>
    <mergeCell ref="V5:V6"/>
    <mergeCell ref="W5:W6"/>
    <mergeCell ref="P4:T4"/>
    <mergeCell ref="M4:O4"/>
    <mergeCell ref="Y5:Z5"/>
    <mergeCell ref="AJ46:AK46"/>
    <mergeCell ref="B5:B6"/>
    <mergeCell ref="C5:C6"/>
    <mergeCell ref="D5:D6"/>
    <mergeCell ref="E5:E6"/>
    <mergeCell ref="F5:F6"/>
    <mergeCell ref="G5:G6"/>
    <mergeCell ref="AC5:AE5"/>
    <mergeCell ref="AF4:AF6"/>
    <mergeCell ref="AJ45:AK45"/>
    <mergeCell ref="A1:U1"/>
    <mergeCell ref="A2:U2"/>
    <mergeCell ref="R3:T3"/>
    <mergeCell ref="AD3:AF3"/>
    <mergeCell ref="A4:A6"/>
    <mergeCell ref="B4:L4"/>
    <mergeCell ref="K5:K6"/>
    <mergeCell ref="L5:L6"/>
    <mergeCell ref="M5:M6"/>
    <mergeCell ref="N5:N6"/>
  </mergeCells>
  <printOptions horizontalCentered="1"/>
  <pageMargins left="0.25" right="0.25" top="0.25" bottom="0" header="0.3" footer="0.3"/>
  <pageSetup paperSize="9" scale="66" orientation="landscape" r:id="rId1"/>
  <rowBreaks count="1" manualBreakCount="1">
    <brk id="41" max="16383" man="1"/>
  </rowBreaks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Meal_SRC</vt:lpstr>
      <vt:lpstr>Kiln Feed_SRC</vt:lpstr>
      <vt:lpstr>5- ChemicalClinkerMonthly</vt:lpstr>
      <vt:lpstr>CM WF_CLINKER</vt:lpstr>
      <vt:lpstr>'CM WF_CLINKER'!Print_Area</vt:lpstr>
    </vt:vector>
  </TitlesOfParts>
  <Company>sdccl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surana</dc:creator>
  <cp:lastModifiedBy>mahmoud dayem</cp:lastModifiedBy>
  <cp:lastPrinted>2018-12-19T17:12:27Z</cp:lastPrinted>
  <dcterms:created xsi:type="dcterms:W3CDTF">2002-07-27T12:38:16Z</dcterms:created>
  <dcterms:modified xsi:type="dcterms:W3CDTF">2026-04-15T16:20:46Z</dcterms:modified>
</cp:coreProperties>
</file>