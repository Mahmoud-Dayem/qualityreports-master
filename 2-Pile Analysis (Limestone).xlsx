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qassimcement-my.sharepoint.com/personal/mahmoud_gaweesh_qcc_com_sa/Documents/Desktop/عبد الدايم/"/>
    </mc:Choice>
  </mc:AlternateContent>
  <xr:revisionPtr revIDLastSave="7" documentId="11_F25DC773A252ABDACC10480EF11A73E85BDE58EC" xr6:coauthVersionLast="47" xr6:coauthVersionMax="47" xr10:uidLastSave="{02B5D12B-6604-4970-9D8B-5AB8724F158B}"/>
  <bookViews>
    <workbookView xWindow="-120" yWindow="-120" windowWidth="20730" windowHeight="1116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" i="1" l="1"/>
  <c r="K43" i="1"/>
  <c r="J43" i="1"/>
  <c r="I43" i="1"/>
  <c r="H43" i="1"/>
  <c r="G43" i="1"/>
  <c r="F43" i="1"/>
  <c r="E43" i="1"/>
  <c r="D43" i="1"/>
  <c r="L41" i="1"/>
  <c r="K41" i="1"/>
  <c r="J41" i="1"/>
  <c r="I41" i="1"/>
  <c r="H41" i="1"/>
  <c r="G41" i="1"/>
  <c r="F41" i="1"/>
  <c r="E41" i="1"/>
  <c r="D41" i="1"/>
  <c r="L40" i="1"/>
  <c r="K40" i="1"/>
  <c r="J40" i="1"/>
  <c r="I40" i="1"/>
  <c r="H40" i="1"/>
  <c r="G40" i="1"/>
  <c r="F40" i="1"/>
  <c r="E40" i="1"/>
  <c r="D40" i="1"/>
  <c r="L39" i="1"/>
  <c r="K39" i="1"/>
  <c r="J39" i="1"/>
  <c r="I39" i="1"/>
  <c r="H39" i="1"/>
  <c r="G39" i="1"/>
  <c r="F39" i="1"/>
  <c r="E39" i="1"/>
  <c r="D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C32" i="1"/>
  <c r="O31" i="1"/>
  <c r="N31" i="1"/>
  <c r="M31" i="1"/>
  <c r="C31" i="1"/>
  <c r="O30" i="1"/>
  <c r="N30" i="1"/>
  <c r="M30" i="1"/>
  <c r="C30" i="1"/>
  <c r="O29" i="1"/>
  <c r="N29" i="1"/>
  <c r="M29" i="1"/>
  <c r="C29" i="1"/>
  <c r="O28" i="1"/>
  <c r="N28" i="1"/>
  <c r="M28" i="1"/>
  <c r="C28" i="1"/>
  <c r="O27" i="1"/>
  <c r="N27" i="1"/>
  <c r="M27" i="1"/>
  <c r="C27" i="1"/>
  <c r="O26" i="1"/>
  <c r="N26" i="1"/>
  <c r="M26" i="1"/>
  <c r="C26" i="1"/>
  <c r="O25" i="1"/>
  <c r="N25" i="1"/>
  <c r="M25" i="1"/>
  <c r="C25" i="1"/>
  <c r="O24" i="1"/>
  <c r="N24" i="1"/>
  <c r="M24" i="1"/>
  <c r="C24" i="1"/>
  <c r="O23" i="1"/>
  <c r="N23" i="1"/>
  <c r="M23" i="1"/>
  <c r="C23" i="1"/>
  <c r="O22" i="1"/>
  <c r="N22" i="1"/>
  <c r="M22" i="1"/>
  <c r="C22" i="1"/>
  <c r="O21" i="1"/>
  <c r="N21" i="1"/>
  <c r="M21" i="1"/>
  <c r="C21" i="1"/>
  <c r="O20" i="1"/>
  <c r="N20" i="1"/>
  <c r="M20" i="1"/>
  <c r="C20" i="1"/>
  <c r="O19" i="1"/>
  <c r="N19" i="1"/>
  <c r="M19" i="1"/>
  <c r="C19" i="1"/>
  <c r="O18" i="1"/>
  <c r="N18" i="1"/>
  <c r="M18" i="1"/>
  <c r="C18" i="1"/>
  <c r="O17" i="1"/>
  <c r="N17" i="1"/>
  <c r="M17" i="1"/>
  <c r="C17" i="1"/>
  <c r="O16" i="1"/>
  <c r="N16" i="1"/>
  <c r="M16" i="1"/>
  <c r="C16" i="1"/>
  <c r="O15" i="1"/>
  <c r="N15" i="1"/>
  <c r="M15" i="1"/>
  <c r="C15" i="1"/>
  <c r="O14" i="1"/>
  <c r="N14" i="1"/>
  <c r="M14" i="1"/>
  <c r="C14" i="1"/>
  <c r="O13" i="1"/>
  <c r="N13" i="1"/>
  <c r="M13" i="1"/>
  <c r="C13" i="1"/>
  <c r="O12" i="1"/>
  <c r="N12" i="1"/>
  <c r="M12" i="1"/>
  <c r="C12" i="1"/>
  <c r="O11" i="1"/>
  <c r="N11" i="1"/>
  <c r="M11" i="1"/>
  <c r="C11" i="1"/>
  <c r="O10" i="1"/>
  <c r="N10" i="1"/>
  <c r="M10" i="1"/>
  <c r="C10" i="1"/>
  <c r="O9" i="1"/>
  <c r="N9" i="1"/>
  <c r="M9" i="1"/>
  <c r="C9" i="1"/>
  <c r="O8" i="1"/>
  <c r="N8" i="1"/>
  <c r="M8" i="1"/>
  <c r="C8" i="1"/>
  <c r="O7" i="1"/>
  <c r="N7" i="1"/>
  <c r="M7" i="1"/>
  <c r="C7" i="1"/>
  <c r="O6" i="1"/>
  <c r="N6" i="1"/>
  <c r="M6" i="1"/>
  <c r="C6" i="1"/>
  <c r="O5" i="1"/>
  <c r="N5" i="1"/>
  <c r="M5" i="1"/>
  <c r="C5" i="1"/>
  <c r="O4" i="1"/>
  <c r="N4" i="1"/>
  <c r="M4" i="1"/>
  <c r="C4" i="1"/>
  <c r="O3" i="1"/>
  <c r="N3" i="1"/>
  <c r="M3" i="1"/>
  <c r="C3" i="1"/>
  <c r="M43" i="1" l="1"/>
  <c r="N43" i="1"/>
  <c r="O43" i="1"/>
  <c r="M40" i="1"/>
  <c r="N40" i="1"/>
  <c r="O40" i="1"/>
  <c r="M39" i="1"/>
  <c r="M41" i="1"/>
  <c r="N39" i="1"/>
  <c r="N41" i="1"/>
  <c r="O39" i="1"/>
  <c r="O41" i="1"/>
  <c r="C42" i="1"/>
  <c r="K42" i="1" s="1"/>
  <c r="J42" i="1" l="1"/>
  <c r="L42" i="1"/>
  <c r="D42" i="1"/>
  <c r="H42" i="1"/>
  <c r="F42" i="1"/>
  <c r="E42" i="1"/>
  <c r="I42" i="1"/>
  <c r="G42" i="1"/>
  <c r="N42" i="1" l="1"/>
  <c r="M42" i="1"/>
  <c r="O42" i="1"/>
</calcChain>
</file>

<file path=xl/sharedStrings.xml><?xml version="1.0" encoding="utf-8"?>
<sst xmlns="http://schemas.openxmlformats.org/spreadsheetml/2006/main" count="25" uniqueCount="25">
  <si>
    <t>Date</t>
  </si>
  <si>
    <t>Time</t>
  </si>
  <si>
    <t>Quantity</t>
  </si>
  <si>
    <r>
      <t>SiO</t>
    </r>
    <r>
      <rPr>
        <b/>
        <i/>
        <vertAlign val="subscript"/>
        <sz val="14"/>
        <color theme="1"/>
        <rFont val="Calibri"/>
        <family val="2"/>
        <scheme val="minor"/>
      </rPr>
      <t>2</t>
    </r>
  </si>
  <si>
    <r>
      <t>Al</t>
    </r>
    <r>
      <rPr>
        <b/>
        <i/>
        <vertAlign val="subscript"/>
        <sz val="14"/>
        <color theme="1"/>
        <rFont val="Calibri"/>
        <family val="2"/>
        <scheme val="minor"/>
      </rPr>
      <t>2</t>
    </r>
    <r>
      <rPr>
        <b/>
        <i/>
        <sz val="16"/>
        <color theme="1"/>
        <rFont val="Arial"/>
        <family val="2"/>
      </rPr>
      <t>O</t>
    </r>
    <r>
      <rPr>
        <b/>
        <i/>
        <vertAlign val="subscript"/>
        <sz val="14"/>
        <color theme="1"/>
        <rFont val="Calibri"/>
        <family val="2"/>
        <scheme val="minor"/>
      </rPr>
      <t>3</t>
    </r>
  </si>
  <si>
    <r>
      <t>Fe</t>
    </r>
    <r>
      <rPr>
        <b/>
        <i/>
        <vertAlign val="subscript"/>
        <sz val="14"/>
        <color theme="1"/>
        <rFont val="Calibri"/>
        <family val="2"/>
        <scheme val="minor"/>
      </rPr>
      <t>2</t>
    </r>
    <r>
      <rPr>
        <b/>
        <i/>
        <sz val="18"/>
        <color theme="1"/>
        <rFont val="Calibri"/>
        <family val="2"/>
        <scheme val="minor"/>
      </rPr>
      <t>O</t>
    </r>
    <r>
      <rPr>
        <b/>
        <i/>
        <vertAlign val="subscript"/>
        <sz val="14"/>
        <color theme="1"/>
        <rFont val="Calibri"/>
        <family val="2"/>
        <scheme val="minor"/>
      </rPr>
      <t>3</t>
    </r>
  </si>
  <si>
    <t>CaO</t>
  </si>
  <si>
    <t>MgO</t>
  </si>
  <si>
    <r>
      <t>SO</t>
    </r>
    <r>
      <rPr>
        <i/>
        <vertAlign val="subscript"/>
        <sz val="14"/>
        <color theme="1"/>
        <rFont val="Calibri"/>
        <family val="2"/>
        <scheme val="minor"/>
      </rPr>
      <t>3</t>
    </r>
  </si>
  <si>
    <t>K2O</t>
  </si>
  <si>
    <t>Na2O</t>
  </si>
  <si>
    <t>CL</t>
  </si>
  <si>
    <t>LSF</t>
  </si>
  <si>
    <t>SM</t>
  </si>
  <si>
    <t>AM</t>
  </si>
  <si>
    <t xml:space="preserve">Target  </t>
  </si>
  <si>
    <t>2.80 Max</t>
  </si>
  <si>
    <t>0.20 Max</t>
  </si>
  <si>
    <t>180 - 210</t>
  </si>
  <si>
    <t>2.80 -3.00</t>
  </si>
  <si>
    <t>No of Counts</t>
  </si>
  <si>
    <t>Minimum</t>
  </si>
  <si>
    <t>Maximum</t>
  </si>
  <si>
    <t>Total Pile Qty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</si>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</sst>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i/>
      <sz val="16"/>
      <name val="Arial"/>
      <family val="2"/>
    </font>
    <font>
      <b/>
      <i/>
      <vertAlign val="subscript"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vertAlign val="subscript"/>
      <sz val="14"/>
      <color theme="1"/>
      <name val="Calibri"/>
      <family val="2"/>
      <scheme val="minor"/>
    </font>
    <font>
      <b/>
      <i/>
      <sz val="20"/>
      <color theme="1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8"/>
      <color theme="1"/>
      <name val="Calibri"/>
      <family val="2"/>
      <scheme val="minor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4">
    <xf numFmtId="0" fontId="0" fillId="0" borderId="0" xfId="0"/>
    <xf numFmtId="164" fontId="10" fillId="3" borderId="13" xfId="0" quotePrefix="1" applyNumberFormat="1" applyFont="1" applyFill="1" applyBorder="1" applyAlignment="1">
      <alignment horizontal="center" vertical="center" wrapText="1" readingOrder="1"/>
    </xf>
    <xf numFmtId="164" fontId="10" fillId="3" borderId="14" xfId="1" quotePrefix="1" applyNumberFormat="1" applyFont="1" applyFill="1" applyBorder="1" applyAlignment="1">
      <alignment horizontal="center" vertical="center"/>
    </xf>
    <xf numFmtId="2" fontId="10" fillId="3" borderId="15" xfId="1" applyNumberFormat="1" applyFont="1" applyFill="1" applyBorder="1" applyAlignment="1">
      <alignment horizontal="center" vertical="center"/>
    </xf>
    <xf numFmtId="2" fontId="10" fillId="3" borderId="15" xfId="2" applyNumberFormat="1" applyFont="1" applyFill="1" applyBorder="1" applyAlignment="1">
      <alignment horizontal="center" vertical="center"/>
    </xf>
    <xf numFmtId="2" fontId="10" fillId="3" borderId="15" xfId="0" applyNumberFormat="1" applyFont="1" applyFill="1" applyBorder="1" applyAlignment="1">
      <alignment horizontal="center" vertical="center"/>
    </xf>
    <xf numFmtId="2" fontId="10" fillId="3" borderId="15" xfId="1" quotePrefix="1" applyNumberFormat="1" applyFont="1" applyFill="1" applyBorder="1" applyAlignment="1">
      <alignment horizontal="center" vertical="center"/>
    </xf>
    <xf numFmtId="2" fontId="10" fillId="3" borderId="16" xfId="1" quotePrefix="1" applyNumberFormat="1" applyFont="1" applyFill="1" applyBorder="1" applyAlignment="1">
      <alignment horizontal="center" vertical="center"/>
    </xf>
    <xf numFmtId="2" fontId="11" fillId="2" borderId="17" xfId="0" applyNumberFormat="1" applyFont="1" applyFill="1" applyBorder="1" applyAlignment="1">
      <alignment horizontal="center" vertical="center" wrapText="1"/>
    </xf>
    <xf numFmtId="164" fontId="10" fillId="3" borderId="20" xfId="0" quotePrefix="1" applyNumberFormat="1" applyFont="1" applyFill="1" applyBorder="1" applyAlignment="1">
      <alignment horizontal="center" vertical="center" wrapText="1" readingOrder="1"/>
    </xf>
    <xf numFmtId="164" fontId="10" fillId="3" borderId="21" xfId="2" quotePrefix="1" applyNumberFormat="1" applyFont="1" applyFill="1" applyBorder="1" applyAlignment="1">
      <alignment horizontal="center" vertical="center"/>
    </xf>
    <xf numFmtId="2" fontId="10" fillId="3" borderId="10" xfId="2" applyNumberFormat="1" applyFont="1" applyFill="1" applyBorder="1" applyAlignment="1">
      <alignment horizontal="center" vertical="center"/>
    </xf>
    <xf numFmtId="2" fontId="10" fillId="3" borderId="10" xfId="0" applyNumberFormat="1" applyFont="1" applyFill="1" applyBorder="1" applyAlignment="1">
      <alignment horizontal="center" vertical="center"/>
    </xf>
    <xf numFmtId="2" fontId="10" fillId="3" borderId="10" xfId="2" quotePrefix="1" applyNumberFormat="1" applyFont="1" applyFill="1" applyBorder="1" applyAlignment="1">
      <alignment horizontal="center" vertical="center"/>
    </xf>
    <xf numFmtId="2" fontId="10" fillId="3" borderId="11" xfId="2" quotePrefix="1" applyNumberFormat="1" applyFont="1" applyFill="1" applyBorder="1" applyAlignment="1">
      <alignment horizontal="center" vertical="center"/>
    </xf>
    <xf numFmtId="2" fontId="11" fillId="2" borderId="21" xfId="0" applyNumberFormat="1" applyFont="1" applyFill="1" applyBorder="1" applyAlignment="1">
      <alignment horizontal="center" vertical="center" wrapText="1"/>
    </xf>
    <xf numFmtId="2" fontId="11" fillId="2" borderId="9" xfId="0" applyNumberFormat="1" applyFont="1" applyFill="1" applyBorder="1" applyAlignment="1">
      <alignment horizontal="center" vertical="center" wrapText="1"/>
    </xf>
    <xf numFmtId="164" fontId="10" fillId="3" borderId="17" xfId="0" quotePrefix="1" applyNumberFormat="1" applyFont="1" applyFill="1" applyBorder="1" applyAlignment="1">
      <alignment horizontal="center" vertical="center"/>
    </xf>
    <xf numFmtId="2" fontId="10" fillId="3" borderId="15" xfId="0" quotePrefix="1" applyNumberFormat="1" applyFont="1" applyFill="1" applyBorder="1" applyAlignment="1">
      <alignment horizontal="center" vertical="center"/>
    </xf>
    <xf numFmtId="2" fontId="10" fillId="3" borderId="16" xfId="0" quotePrefix="1" applyNumberFormat="1" applyFont="1" applyFill="1" applyBorder="1" applyAlignment="1">
      <alignment horizontal="center" vertical="center"/>
    </xf>
    <xf numFmtId="164" fontId="10" fillId="3" borderId="23" xfId="0" quotePrefix="1" applyNumberFormat="1" applyFont="1" applyFill="1" applyBorder="1" applyAlignment="1">
      <alignment horizontal="center" vertical="center" wrapText="1" readingOrder="1"/>
    </xf>
    <xf numFmtId="164" fontId="10" fillId="3" borderId="24" xfId="0" quotePrefix="1" applyNumberFormat="1" applyFont="1" applyFill="1" applyBorder="1" applyAlignment="1">
      <alignment horizontal="center" vertical="center"/>
    </xf>
    <xf numFmtId="2" fontId="10" fillId="3" borderId="25" xfId="0" applyNumberFormat="1" applyFont="1" applyFill="1" applyBorder="1" applyAlignment="1">
      <alignment horizontal="center" vertical="center"/>
    </xf>
    <xf numFmtId="2" fontId="10" fillId="3" borderId="26" xfId="0" applyNumberFormat="1" applyFont="1" applyFill="1" applyBorder="1" applyAlignment="1">
      <alignment horizontal="center" vertical="center"/>
    </xf>
    <xf numFmtId="2" fontId="11" fillId="2" borderId="27" xfId="0" applyNumberFormat="1" applyFont="1" applyFill="1" applyBorder="1" applyAlignment="1">
      <alignment horizontal="center" vertical="center" wrapText="1"/>
    </xf>
    <xf numFmtId="2" fontId="11" fillId="2" borderId="28" xfId="0" applyNumberFormat="1" applyFont="1" applyFill="1" applyBorder="1" applyAlignment="1">
      <alignment horizontal="center" vertical="center" wrapText="1"/>
    </xf>
    <xf numFmtId="2" fontId="11" fillId="2" borderId="24" xfId="0" applyNumberFormat="1" applyFont="1" applyFill="1" applyBorder="1" applyAlignment="1">
      <alignment horizontal="center" vertical="center" wrapText="1"/>
    </xf>
    <xf numFmtId="2" fontId="11" fillId="2" borderId="30" xfId="0" applyNumberFormat="1" applyFont="1" applyFill="1" applyBorder="1" applyAlignment="1">
      <alignment horizontal="center" vertical="center" wrapText="1"/>
    </xf>
    <xf numFmtId="2" fontId="10" fillId="3" borderId="25" xfId="0" quotePrefix="1" applyNumberFormat="1" applyFont="1" applyFill="1" applyBorder="1" applyAlignment="1">
      <alignment horizontal="center" vertical="center"/>
    </xf>
    <xf numFmtId="2" fontId="10" fillId="3" borderId="26" xfId="0" quotePrefix="1" applyNumberFormat="1" applyFont="1" applyFill="1" applyBorder="1" applyAlignment="1">
      <alignment horizontal="center" vertical="center"/>
    </xf>
    <xf numFmtId="164" fontId="10" fillId="3" borderId="32" xfId="0" quotePrefix="1" applyNumberFormat="1" applyFont="1" applyFill="1" applyBorder="1" applyAlignment="1">
      <alignment horizontal="center" vertical="center" wrapText="1" readingOrder="1"/>
    </xf>
    <xf numFmtId="164" fontId="10" fillId="3" borderId="30" xfId="0" quotePrefix="1" applyNumberFormat="1" applyFont="1" applyFill="1" applyBorder="1" applyAlignment="1">
      <alignment horizontal="center" vertical="center"/>
    </xf>
    <xf numFmtId="2" fontId="10" fillId="3" borderId="33" xfId="0" applyNumberFormat="1" applyFont="1" applyFill="1" applyBorder="1" applyAlignment="1">
      <alignment horizontal="center" vertical="center"/>
    </xf>
    <xf numFmtId="2" fontId="10" fillId="3" borderId="33" xfId="0" quotePrefix="1" applyNumberFormat="1" applyFont="1" applyFill="1" applyBorder="1" applyAlignment="1">
      <alignment horizontal="center" vertical="center"/>
    </xf>
    <xf numFmtId="2" fontId="10" fillId="3" borderId="34" xfId="0" quotePrefix="1" applyNumberFormat="1" applyFont="1" applyFill="1" applyBorder="1" applyAlignment="1">
      <alignment horizontal="center" vertical="center"/>
    </xf>
    <xf numFmtId="2" fontId="11" fillId="3" borderId="30" xfId="0" applyNumberFormat="1" applyFont="1" applyFill="1" applyBorder="1" applyAlignment="1">
      <alignment horizontal="center" vertical="center" wrapText="1"/>
    </xf>
    <xf numFmtId="2" fontId="11" fillId="3" borderId="35" xfId="0" applyNumberFormat="1" applyFont="1" applyFill="1" applyBorder="1" applyAlignment="1">
      <alignment horizontal="center" vertical="center" wrapText="1"/>
    </xf>
    <xf numFmtId="2" fontId="11" fillId="3" borderId="28" xfId="0" applyNumberFormat="1" applyFont="1" applyFill="1" applyBorder="1" applyAlignment="1">
      <alignment horizontal="center" vertical="center" wrapText="1"/>
    </xf>
    <xf numFmtId="164" fontId="10" fillId="3" borderId="36" xfId="0" quotePrefix="1" applyNumberFormat="1" applyFont="1" applyFill="1" applyBorder="1" applyAlignment="1">
      <alignment horizontal="center" vertical="center" wrapText="1" readingOrder="1"/>
    </xf>
    <xf numFmtId="164" fontId="10" fillId="3" borderId="37" xfId="0" quotePrefix="1" applyNumberFormat="1" applyFont="1" applyFill="1" applyBorder="1" applyAlignment="1">
      <alignment horizontal="center" vertical="center"/>
    </xf>
    <xf numFmtId="2" fontId="10" fillId="3" borderId="38" xfId="0" applyNumberFormat="1" applyFont="1" applyFill="1" applyBorder="1" applyAlignment="1">
      <alignment horizontal="center" vertical="center"/>
    </xf>
    <xf numFmtId="2" fontId="10" fillId="3" borderId="39" xfId="0" applyNumberFormat="1" applyFont="1" applyFill="1" applyBorder="1" applyAlignment="1">
      <alignment horizontal="center" vertical="center"/>
    </xf>
    <xf numFmtId="2" fontId="11" fillId="3" borderId="21" xfId="0" applyNumberFormat="1" applyFont="1" applyFill="1" applyBorder="1" applyAlignment="1">
      <alignment horizontal="center" vertical="center" wrapText="1"/>
    </xf>
    <xf numFmtId="2" fontId="10" fillId="3" borderId="16" xfId="0" applyNumberFormat="1" applyFont="1" applyFill="1" applyBorder="1" applyAlignment="1">
      <alignment horizontal="center" vertical="center"/>
    </xf>
    <xf numFmtId="2" fontId="11" fillId="3" borderId="40" xfId="0" applyNumberFormat="1" applyFont="1" applyFill="1" applyBorder="1" applyAlignment="1">
      <alignment horizontal="center" vertical="center" wrapText="1"/>
    </xf>
    <xf numFmtId="2" fontId="11" fillId="2" borderId="40" xfId="0" applyNumberFormat="1" applyFont="1" applyFill="1" applyBorder="1" applyAlignment="1">
      <alignment horizontal="center" vertical="center" wrapText="1"/>
    </xf>
    <xf numFmtId="2" fontId="11" fillId="3" borderId="24" xfId="0" applyNumberFormat="1" applyFont="1" applyFill="1" applyBorder="1" applyAlignment="1">
      <alignment horizontal="center" vertical="center" wrapText="1"/>
    </xf>
    <xf numFmtId="2" fontId="11" fillId="2" borderId="33" xfId="0" applyNumberFormat="1" applyFont="1" applyFill="1" applyBorder="1" applyAlignment="1">
      <alignment horizontal="center" vertical="center" wrapText="1"/>
    </xf>
    <xf numFmtId="2" fontId="11" fillId="2" borderId="31" xfId="0" applyNumberFormat="1" applyFont="1" applyFill="1" applyBorder="1" applyAlignment="1">
      <alignment horizontal="center" vertical="center" wrapText="1"/>
    </xf>
    <xf numFmtId="2" fontId="11" fillId="2" borderId="29" xfId="0" applyNumberFormat="1" applyFont="1" applyFill="1" applyBorder="1" applyAlignment="1">
      <alignment horizontal="center" vertical="center" wrapText="1"/>
    </xf>
    <xf numFmtId="164" fontId="10" fillId="3" borderId="9" xfId="0" quotePrefix="1" applyNumberFormat="1" applyFont="1" applyFill="1" applyBorder="1" applyAlignment="1">
      <alignment horizontal="center" vertical="center"/>
    </xf>
    <xf numFmtId="2" fontId="10" fillId="3" borderId="11" xfId="0" quotePrefix="1" applyNumberFormat="1" applyFont="1" applyFill="1" applyBorder="1" applyAlignment="1">
      <alignment horizontal="center" vertical="center"/>
    </xf>
    <xf numFmtId="2" fontId="11" fillId="2" borderId="42" xfId="0" applyNumberFormat="1" applyFont="1" applyFill="1" applyBorder="1" applyAlignment="1">
      <alignment horizontal="center" vertical="center" wrapText="1"/>
    </xf>
    <xf numFmtId="2" fontId="11" fillId="2" borderId="37" xfId="0" applyNumberFormat="1" applyFont="1" applyFill="1" applyBorder="1" applyAlignment="1">
      <alignment horizontal="center" vertical="center" wrapText="1"/>
    </xf>
    <xf numFmtId="2" fontId="11" fillId="2" borderId="19" xfId="0" applyNumberFormat="1" applyFont="1" applyFill="1" applyBorder="1" applyAlignment="1">
      <alignment horizontal="center" vertical="center" wrapText="1"/>
    </xf>
    <xf numFmtId="2" fontId="10" fillId="3" borderId="34" xfId="0" applyNumberFormat="1" applyFont="1" applyFill="1" applyBorder="1" applyAlignment="1">
      <alignment horizontal="center" vertical="center"/>
    </xf>
    <xf numFmtId="2" fontId="11" fillId="2" borderId="35" xfId="0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13" fillId="2" borderId="22" xfId="0" applyFont="1" applyFill="1" applyBorder="1" applyAlignment="1">
      <alignment vertical="center" textRotation="90"/>
    </xf>
    <xf numFmtId="164" fontId="10" fillId="3" borderId="32" xfId="3" quotePrefix="1" applyNumberFormat="1" applyFont="1" applyFill="1" applyBorder="1" applyAlignment="1">
      <alignment horizontal="center" vertical="center" wrapText="1" readingOrder="1"/>
    </xf>
    <xf numFmtId="164" fontId="10" fillId="3" borderId="30" xfId="3" quotePrefix="1" applyNumberFormat="1" applyFont="1" applyFill="1" applyBorder="1" applyAlignment="1">
      <alignment horizontal="center" vertical="center"/>
    </xf>
    <xf numFmtId="2" fontId="10" fillId="3" borderId="33" xfId="3" applyNumberFormat="1" applyFont="1" applyFill="1" applyBorder="1" applyAlignment="1">
      <alignment horizontal="center" vertical="center"/>
    </xf>
    <xf numFmtId="2" fontId="10" fillId="3" borderId="34" xfId="3" applyNumberFormat="1" applyFont="1" applyFill="1" applyBorder="1" applyAlignment="1">
      <alignment horizontal="center" vertical="center"/>
    </xf>
    <xf numFmtId="164" fontId="10" fillId="3" borderId="23" xfId="3" quotePrefix="1" applyNumberFormat="1" applyFont="1" applyFill="1" applyBorder="1" applyAlignment="1">
      <alignment horizontal="center" vertical="center" wrapText="1" readingOrder="1"/>
    </xf>
    <xf numFmtId="164" fontId="10" fillId="3" borderId="24" xfId="3" quotePrefix="1" applyNumberFormat="1" applyFont="1" applyFill="1" applyBorder="1" applyAlignment="1">
      <alignment horizontal="center" vertical="center"/>
    </xf>
    <xf numFmtId="2" fontId="10" fillId="3" borderId="25" xfId="3" applyNumberFormat="1" applyFont="1" applyFill="1" applyBorder="1" applyAlignment="1">
      <alignment horizontal="center" vertical="center"/>
    </xf>
    <xf numFmtId="2" fontId="10" fillId="3" borderId="26" xfId="3" applyNumberFormat="1" applyFont="1" applyFill="1" applyBorder="1" applyAlignment="1">
      <alignment horizontal="center" vertical="center"/>
    </xf>
    <xf numFmtId="0" fontId="14" fillId="3" borderId="22" xfId="0" quotePrefix="1" applyFont="1" applyFill="1" applyBorder="1" applyAlignment="1">
      <alignment vertical="center" textRotation="90" readingOrder="1"/>
    </xf>
    <xf numFmtId="164" fontId="10" fillId="3" borderId="23" xfId="4" quotePrefix="1" applyNumberFormat="1" applyFont="1" applyFill="1" applyBorder="1" applyAlignment="1">
      <alignment horizontal="center" vertical="center" wrapText="1" readingOrder="1"/>
    </xf>
    <xf numFmtId="164" fontId="10" fillId="3" borderId="24" xfId="4" quotePrefix="1" applyNumberFormat="1" applyFont="1" applyFill="1" applyBorder="1" applyAlignment="1">
      <alignment horizontal="center" vertical="center"/>
    </xf>
    <xf numFmtId="2" fontId="10" fillId="3" borderId="25" xfId="4" applyNumberFormat="1" applyFont="1" applyFill="1" applyBorder="1" applyAlignment="1">
      <alignment horizontal="center" vertical="center"/>
    </xf>
    <xf numFmtId="2" fontId="10" fillId="3" borderId="25" xfId="4" quotePrefix="1" applyNumberFormat="1" applyFont="1" applyFill="1" applyBorder="1" applyAlignment="1">
      <alignment horizontal="center" vertical="center"/>
    </xf>
    <xf numFmtId="2" fontId="10" fillId="3" borderId="26" xfId="4" quotePrefix="1" applyNumberFormat="1" applyFont="1" applyFill="1" applyBorder="1" applyAlignment="1">
      <alignment horizontal="center" vertical="center"/>
    </xf>
    <xf numFmtId="0" fontId="14" fillId="3" borderId="19" xfId="0" quotePrefix="1" applyFont="1" applyFill="1" applyBorder="1" applyAlignment="1">
      <alignment vertical="center" textRotation="90" readingOrder="1"/>
    </xf>
    <xf numFmtId="2" fontId="10" fillId="3" borderId="26" xfId="4" applyNumberFormat="1" applyFont="1" applyFill="1" applyBorder="1" applyAlignment="1">
      <alignment horizontal="center" vertical="center"/>
    </xf>
    <xf numFmtId="1" fontId="15" fillId="3" borderId="14" xfId="0" applyNumberFormat="1" applyFont="1" applyFill="1" applyBorder="1" applyAlignment="1">
      <alignment horizontal="center" vertical="center"/>
    </xf>
    <xf numFmtId="1" fontId="15" fillId="3" borderId="15" xfId="0" applyNumberFormat="1" applyFont="1" applyFill="1" applyBorder="1" applyAlignment="1">
      <alignment horizontal="center" vertical="center"/>
    </xf>
    <xf numFmtId="1" fontId="15" fillId="3" borderId="16" xfId="0" applyNumberFormat="1" applyFont="1" applyFill="1" applyBorder="1" applyAlignment="1">
      <alignment horizontal="center" vertical="center"/>
    </xf>
    <xf numFmtId="1" fontId="15" fillId="3" borderId="17" xfId="0" applyNumberFormat="1" applyFont="1" applyFill="1" applyBorder="1" applyAlignment="1">
      <alignment horizontal="center" vertical="center"/>
    </xf>
    <xf numFmtId="2" fontId="15" fillId="3" borderId="28" xfId="0" applyNumberFormat="1" applyFont="1" applyFill="1" applyBorder="1" applyAlignment="1">
      <alignment horizontal="center" vertical="center"/>
    </xf>
    <xf numFmtId="2" fontId="15" fillId="3" borderId="25" xfId="0" applyNumberFormat="1" applyFont="1" applyFill="1" applyBorder="1" applyAlignment="1">
      <alignment horizontal="center" vertical="center"/>
    </xf>
    <xf numFmtId="2" fontId="15" fillId="3" borderId="26" xfId="0" applyNumberFormat="1" applyFont="1" applyFill="1" applyBorder="1" applyAlignment="1">
      <alignment horizontal="center" vertical="center"/>
    </xf>
    <xf numFmtId="2" fontId="15" fillId="3" borderId="24" xfId="0" applyNumberFormat="1" applyFont="1" applyFill="1" applyBorder="1" applyAlignment="1">
      <alignment horizontal="center" vertical="center"/>
    </xf>
    <xf numFmtId="2" fontId="15" fillId="3" borderId="51" xfId="0" applyNumberFormat="1" applyFont="1" applyFill="1" applyBorder="1" applyAlignment="1">
      <alignment horizontal="center" vertical="center"/>
    </xf>
    <xf numFmtId="2" fontId="15" fillId="3" borderId="52" xfId="0" applyNumberFormat="1" applyFont="1" applyFill="1" applyBorder="1" applyAlignment="1">
      <alignment horizontal="center" vertical="center"/>
    </xf>
    <xf numFmtId="2" fontId="15" fillId="3" borderId="53" xfId="0" applyNumberFormat="1" applyFont="1" applyFill="1" applyBorder="1" applyAlignment="1">
      <alignment horizontal="center" vertical="center"/>
    </xf>
    <xf numFmtId="2" fontId="15" fillId="3" borderId="54" xfId="0" applyNumberFormat="1" applyFont="1" applyFill="1" applyBorder="1" applyAlignment="1">
      <alignment horizontal="center" vertical="center"/>
    </xf>
    <xf numFmtId="2" fontId="15" fillId="3" borderId="61" xfId="0" applyNumberFormat="1" applyFont="1" applyFill="1" applyBorder="1" applyAlignment="1">
      <alignment horizontal="center" vertical="center"/>
    </xf>
    <xf numFmtId="2" fontId="15" fillId="3" borderId="62" xfId="0" applyNumberFormat="1" applyFont="1" applyFill="1" applyBorder="1" applyAlignment="1">
      <alignment horizontal="center" vertical="center"/>
    </xf>
    <xf numFmtId="2" fontId="15" fillId="3" borderId="64" xfId="0" applyNumberFormat="1" applyFont="1" applyFill="1" applyBorder="1" applyAlignment="1">
      <alignment horizontal="center" vertical="center"/>
    </xf>
    <xf numFmtId="2" fontId="15" fillId="3" borderId="65" xfId="0" applyNumberFormat="1" applyFont="1" applyFill="1" applyBorder="1" applyAlignment="1">
      <alignment horizontal="center" vertical="center"/>
    </xf>
    <xf numFmtId="1" fontId="16" fillId="3" borderId="61" xfId="0" applyNumberFormat="1" applyFont="1" applyFill="1" applyBorder="1" applyAlignment="1">
      <alignment horizontal="center" vertical="center"/>
    </xf>
    <xf numFmtId="1" fontId="16" fillId="3" borderId="62" xfId="0" applyNumberFormat="1" applyFont="1" applyFill="1" applyBorder="1" applyAlignment="1">
      <alignment horizontal="center" vertical="center"/>
    </xf>
    <xf numFmtId="1" fontId="16" fillId="3" borderId="63" xfId="0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textRotation="90"/>
    </xf>
    <xf numFmtId="0" fontId="9" fillId="2" borderId="19" xfId="0" applyFont="1" applyFill="1" applyBorder="1" applyAlignment="1">
      <alignment horizontal="center" vertical="center" textRotation="90"/>
    </xf>
    <xf numFmtId="0" fontId="9" fillId="2" borderId="22" xfId="0" applyFont="1" applyFill="1" applyBorder="1" applyAlignment="1">
      <alignment horizontal="center" vertical="center" textRotation="90"/>
    </xf>
    <xf numFmtId="0" fontId="13" fillId="2" borderId="12" xfId="0" applyFont="1" applyFill="1" applyBorder="1" applyAlignment="1">
      <alignment horizontal="center" vertical="center" textRotation="90"/>
    </xf>
    <xf numFmtId="0" fontId="13" fillId="2" borderId="22" xfId="0" applyFont="1" applyFill="1" applyBorder="1" applyAlignment="1">
      <alignment horizontal="center" vertical="center" textRotation="90"/>
    </xf>
    <xf numFmtId="0" fontId="13" fillId="2" borderId="19" xfId="0" applyFont="1" applyFill="1" applyBorder="1" applyAlignment="1">
      <alignment horizontal="center" vertical="center" textRotation="90"/>
    </xf>
    <xf numFmtId="0" fontId="15" fillId="3" borderId="43" xfId="0" quotePrefix="1" applyFont="1" applyFill="1" applyBorder="1" applyAlignment="1">
      <alignment horizontal="center" vertical="center" readingOrder="1"/>
    </xf>
    <xf numFmtId="0" fontId="15" fillId="3" borderId="44" xfId="0" quotePrefix="1" applyFont="1" applyFill="1" applyBorder="1" applyAlignment="1">
      <alignment horizontal="center" vertical="center" readingOrder="1"/>
    </xf>
    <xf numFmtId="0" fontId="15" fillId="3" borderId="45" xfId="0" quotePrefix="1" applyFont="1" applyFill="1" applyBorder="1" applyAlignment="1">
      <alignment horizontal="center" vertical="center" readingOrder="1"/>
    </xf>
    <xf numFmtId="0" fontId="15" fillId="3" borderId="48" xfId="0" quotePrefix="1" applyFont="1" applyFill="1" applyBorder="1" applyAlignment="1">
      <alignment horizontal="center" vertical="center" readingOrder="1"/>
    </xf>
    <xf numFmtId="0" fontId="15" fillId="3" borderId="46" xfId="0" quotePrefix="1" applyFont="1" applyFill="1" applyBorder="1" applyAlignment="1">
      <alignment horizontal="center" vertical="center" readingOrder="1"/>
    </xf>
    <xf numFmtId="0" fontId="15" fillId="3" borderId="47" xfId="0" quotePrefix="1" applyFont="1" applyFill="1" applyBorder="1" applyAlignment="1">
      <alignment horizontal="center" vertical="center" readingOrder="1"/>
    </xf>
    <xf numFmtId="0" fontId="15" fillId="3" borderId="49" xfId="0" quotePrefix="1" applyFont="1" applyFill="1" applyBorder="1" applyAlignment="1">
      <alignment horizontal="center" vertical="center" readingOrder="1"/>
    </xf>
    <xf numFmtId="0" fontId="15" fillId="3" borderId="50" xfId="0" quotePrefix="1" applyFont="1" applyFill="1" applyBorder="1" applyAlignment="1">
      <alignment horizontal="center" vertical="center" readingOrder="1"/>
    </xf>
    <xf numFmtId="2" fontId="3" fillId="3" borderId="1" xfId="0" quotePrefix="1" applyNumberFormat="1" applyFont="1" applyFill="1" applyBorder="1" applyAlignment="1">
      <alignment horizontal="center" vertical="center"/>
    </xf>
    <xf numFmtId="2" fontId="3" fillId="3" borderId="2" xfId="0" quotePrefix="1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3" borderId="0" xfId="0" applyFont="1" applyFill="1"/>
    <xf numFmtId="2" fontId="8" fillId="3" borderId="6" xfId="0" quotePrefix="1" applyNumberFormat="1" applyFont="1" applyFill="1" applyBorder="1" applyAlignment="1">
      <alignment horizontal="center" vertical="center"/>
    </xf>
    <xf numFmtId="2" fontId="8" fillId="3" borderId="7" xfId="0" quotePrefix="1" applyNumberFormat="1" applyFont="1" applyFill="1" applyBorder="1" applyAlignment="1">
      <alignment horizontal="center" vertical="center"/>
    </xf>
    <xf numFmtId="2" fontId="8" fillId="3" borderId="8" xfId="0" quotePrefix="1" applyNumberFormat="1" applyFont="1" applyFill="1" applyBorder="1" applyAlignment="1">
      <alignment horizontal="center" vertical="center"/>
    </xf>
    <xf numFmtId="2" fontId="3" fillId="3" borderId="9" xfId="0" quotePrefix="1" applyNumberFormat="1" applyFont="1" applyFill="1" applyBorder="1" applyAlignment="1">
      <alignment vertical="center"/>
    </xf>
    <xf numFmtId="2" fontId="3" fillId="3" borderId="10" xfId="0" quotePrefix="1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2" fontId="11" fillId="2" borderId="18" xfId="0" applyNumberFormat="1" applyFont="1" applyFill="1" applyBorder="1" applyAlignment="1">
      <alignment horizontal="center" vertical="center" wrapText="1"/>
    </xf>
    <xf numFmtId="2" fontId="11" fillId="2" borderId="8" xfId="0" applyNumberFormat="1" applyFont="1" applyFill="1" applyBorder="1" applyAlignment="1">
      <alignment horizontal="center" vertical="center" wrapText="1"/>
    </xf>
    <xf numFmtId="2" fontId="11" fillId="2" borderId="22" xfId="0" applyNumberFormat="1" applyFont="1" applyFill="1" applyBorder="1" applyAlignment="1">
      <alignment horizontal="center" vertical="center" wrapText="1"/>
    </xf>
    <xf numFmtId="164" fontId="10" fillId="3" borderId="23" xfId="0" applyNumberFormat="1" applyFont="1" applyFill="1" applyBorder="1" applyAlignment="1">
      <alignment horizontal="center" vertical="center" wrapText="1" readingOrder="1"/>
    </xf>
    <xf numFmtId="0" fontId="12" fillId="3" borderId="0" xfId="0" applyFont="1" applyFill="1" applyAlignment="1">
      <alignment horizontal="center" vertical="center"/>
    </xf>
    <xf numFmtId="2" fontId="11" fillId="2" borderId="12" xfId="0" applyNumberFormat="1" applyFont="1" applyFill="1" applyBorder="1" applyAlignment="1">
      <alignment horizontal="center" vertical="center" wrapText="1"/>
    </xf>
    <xf numFmtId="2" fontId="1" fillId="3" borderId="0" xfId="0" applyNumberFormat="1" applyFont="1" applyFill="1"/>
    <xf numFmtId="0" fontId="1" fillId="3" borderId="41" xfId="0" applyFont="1" applyFill="1" applyBorder="1"/>
    <xf numFmtId="1" fontId="16" fillId="3" borderId="55" xfId="0" applyNumberFormat="1" applyFont="1" applyFill="1" applyBorder="1" applyAlignment="1">
      <alignment horizontal="center" vertical="center"/>
    </xf>
    <xf numFmtId="1" fontId="16" fillId="3" borderId="56" xfId="0" applyNumberFormat="1" applyFont="1" applyFill="1" applyBorder="1" applyAlignment="1">
      <alignment horizontal="center" vertical="center"/>
    </xf>
    <xf numFmtId="1" fontId="15" fillId="3" borderId="55" xfId="0" applyNumberFormat="1" applyFont="1" applyFill="1" applyBorder="1" applyAlignment="1">
      <alignment horizontal="center" vertical="center"/>
    </xf>
    <xf numFmtId="2" fontId="15" fillId="3" borderId="55" xfId="0" applyNumberFormat="1" applyFont="1" applyFill="1" applyBorder="1" applyAlignment="1">
      <alignment horizontal="center" vertical="center"/>
    </xf>
    <xf numFmtId="2" fontId="15" fillId="3" borderId="57" xfId="0" applyNumberFormat="1" applyFont="1" applyFill="1" applyBorder="1" applyAlignment="1">
      <alignment horizontal="center" vertical="center"/>
    </xf>
    <xf numFmtId="2" fontId="15" fillId="3" borderId="58" xfId="0" applyNumberFormat="1" applyFont="1" applyFill="1" applyBorder="1" applyAlignment="1">
      <alignment horizontal="center" vertical="center"/>
    </xf>
    <xf numFmtId="2" fontId="15" fillId="3" borderId="59" xfId="0" applyNumberFormat="1" applyFont="1" applyFill="1" applyBorder="1" applyAlignment="1">
      <alignment horizontal="center" vertical="center"/>
    </xf>
    <xf numFmtId="2" fontId="15" fillId="3" borderId="60" xfId="0" applyNumberFormat="1" applyFont="1" applyFill="1" applyBorder="1" applyAlignment="1">
      <alignment horizontal="center" vertical="center" wrapText="1"/>
    </xf>
    <xf numFmtId="2" fontId="17" fillId="3" borderId="0" xfId="0" applyNumberFormat="1" applyFont="1" applyFill="1" applyAlignment="1">
      <alignment horizontal="center" vertical="center"/>
    </xf>
    <xf numFmtId="0" fontId="17" fillId="3" borderId="0" xfId="0" applyFont="1" applyFill="1"/>
    <xf numFmtId="2" fontId="18" fillId="3" borderId="0" xfId="0" applyNumberFormat="1" applyFont="1" applyFill="1" applyAlignment="1">
      <alignment horizontal="center" vertical="center"/>
    </xf>
  </cellXfs>
  <cellStyles count="5">
    <cellStyle name="Normal" xfId="0" builtinId="0"/>
    <cellStyle name="Normal 162 6" xfId="2" xr:uid="{2B2AB067-62FD-4863-AD65-3A7D53F4D3AD}"/>
    <cellStyle name="Normal 170 6" xfId="1" xr:uid="{CD043D5A-EE03-44AD-A932-C285D252E310}"/>
    <cellStyle name="Normal 474" xfId="4" xr:uid="{8933B3CA-F63B-4558-B8E9-9CB1CBAB900E}"/>
    <cellStyle name="Normal 524" xfId="3" xr:uid="{F9EBE9E3-8E0D-42C4-A1CA-914F5471F2F1}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299718</xdr:colOff>
      <xdr:row>1</xdr:row>
      <xdr:rowOff>321655</xdr:rowOff>
    </xdr:from>
    <xdr:to>
      <xdr:col>2</xdr:col>
      <xdr:colOff>795618</xdr:colOff>
      <xdr:row>1</xdr:row>
      <xdr:rowOff>336176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BA3C52B-B0E9-44D3-9E4B-975D643D3E3E}"/>
            </a:ext>
          </a:extLst>
        </xdr:cNvPr>
        <xdr:cNvCxnSpPr/>
      </xdr:nvCxnSpPr>
      <xdr:spPr>
        <a:xfrm>
          <a:off x="1699893" y="2712430"/>
          <a:ext cx="495900" cy="14521"/>
        </a:xfrm>
        <a:prstGeom prst="straightConnector1">
          <a:avLst/>
        </a:prstGeom>
        <a:ln w="53975">
          <a:solidFill>
            <a:schemeClr val="tx1">
              <a:alpha val="86000"/>
            </a:schemeClr>
          </a:solidFill>
          <a:headEnd w="lg" len="lg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Z48"/>
  <sheetViews>
    <sheetView tabSelected="1" topLeftCell="A25" zoomScale="80" zoomScaleNormal="80" workbookViewId="0">
      <selection activeCell="D28" sqref="D28"/>
    </sheetView>
  </sheetViews>
  <sheetFormatPr defaultColWidth="9" defaultRowHeight="15" x14ac:dyDescent="0.25"/>
  <cols>
    <col min="1" max="1" width="10.5703125" style="115" customWidth="1"/>
    <col min="2" max="2" width="10.42578125" style="115" customWidth="1"/>
    <col min="3" max="3" width="13.42578125" style="115" customWidth="1"/>
    <col min="4" max="4" width="12.5703125" style="115" customWidth="1"/>
    <col min="5" max="5" width="13.42578125" style="115" customWidth="1"/>
    <col min="6" max="6" width="12.5703125" style="115" bestFit="1" customWidth="1"/>
    <col min="7" max="7" width="14.42578125" style="115" customWidth="1"/>
    <col min="8" max="9" width="11.42578125" style="115" customWidth="1"/>
    <col min="10" max="10" width="10.42578125" style="115" customWidth="1"/>
    <col min="11" max="11" width="10.5703125" style="115" customWidth="1"/>
    <col min="12" max="12" width="9.5703125" style="115" customWidth="1"/>
    <col min="13" max="13" width="12.42578125" style="115" customWidth="1"/>
    <col min="14" max="15" width="11.5703125" style="115" customWidth="1"/>
    <col min="16" max="17" width="9" style="115"/>
    <col min="18" max="18" width="11.5703125" style="115" bestFit="1" customWidth="1"/>
    <col min="19" max="19" width="13.42578125" style="115" bestFit="1" customWidth="1"/>
    <col min="20" max="16384" width="9" style="115"/>
  </cols>
  <sheetData>
    <row r="1" spans="1:18" ht="41.25" customHeight="1" x14ac:dyDescent="0.25">
      <c r="A1" s="108" t="s">
        <v>0</v>
      </c>
      <c r="B1" s="109" t="s">
        <v>1</v>
      </c>
      <c r="C1" s="110" t="s">
        <v>2</v>
      </c>
      <c r="D1" s="111" t="s">
        <v>3</v>
      </c>
      <c r="E1" s="112" t="s">
        <v>4</v>
      </c>
      <c r="F1" s="112" t="s">
        <v>5</v>
      </c>
      <c r="G1" s="112" t="s">
        <v>6</v>
      </c>
      <c r="H1" s="112" t="s">
        <v>7</v>
      </c>
      <c r="I1" s="112" t="s">
        <v>8</v>
      </c>
      <c r="J1" s="112" t="s">
        <v>9</v>
      </c>
      <c r="K1" s="112" t="s">
        <v>10</v>
      </c>
      <c r="L1" s="113" t="s">
        <v>11</v>
      </c>
      <c r="M1" s="114" t="s">
        <v>12</v>
      </c>
      <c r="N1" s="112" t="s">
        <v>13</v>
      </c>
      <c r="O1" s="113" t="s">
        <v>14</v>
      </c>
    </row>
    <row r="2" spans="1:18" ht="45.75" customHeight="1" thickBot="1" x14ac:dyDescent="0.3">
      <c r="A2" s="116" t="s">
        <v>15</v>
      </c>
      <c r="B2" s="117"/>
      <c r="C2" s="118"/>
      <c r="D2" s="119"/>
      <c r="E2" s="120"/>
      <c r="F2" s="120"/>
      <c r="G2" s="120"/>
      <c r="H2" s="121" t="s">
        <v>16</v>
      </c>
      <c r="I2" s="121" t="s">
        <v>17</v>
      </c>
      <c r="J2" s="122"/>
      <c r="K2" s="122"/>
      <c r="L2" s="123"/>
      <c r="M2" s="121" t="s">
        <v>18</v>
      </c>
      <c r="N2" s="121" t="s">
        <v>19</v>
      </c>
      <c r="O2" s="124"/>
    </row>
    <row r="3" spans="1:18" ht="27.75" customHeight="1" thickTop="1" x14ac:dyDescent="0.25">
      <c r="A3" s="94"/>
      <c r="B3" s="1">
        <v>17</v>
      </c>
      <c r="C3" s="2">
        <f>33.38*17</f>
        <v>567.46</v>
      </c>
      <c r="D3" s="3">
        <v>5.98</v>
      </c>
      <c r="E3" s="3">
        <v>1.31</v>
      </c>
      <c r="F3" s="3">
        <v>2.1</v>
      </c>
      <c r="G3" s="3">
        <v>46.68</v>
      </c>
      <c r="H3" s="4">
        <v>2.44</v>
      </c>
      <c r="I3" s="5">
        <v>0.13</v>
      </c>
      <c r="J3" s="6">
        <v>0.66</v>
      </c>
      <c r="K3" s="6">
        <v>0.16</v>
      </c>
      <c r="L3" s="7">
        <v>0.12</v>
      </c>
      <c r="M3" s="8">
        <f t="shared" ref="M3:M38" si="0">IF(D3="","",100*G3/(2.8*D3+1.18*E3+0.65*F3))</f>
        <v>237.49923682764515</v>
      </c>
      <c r="N3" s="8">
        <f t="shared" ref="N3:N38" si="1">IF(D3="","",D3/(E3+F3))</f>
        <v>1.7536656891495601</v>
      </c>
      <c r="O3" s="125">
        <f t="shared" ref="O3:O38" si="2">IF(E3="","",E3/F3)</f>
        <v>0.62380952380952381</v>
      </c>
    </row>
    <row r="4" spans="1:18" ht="27.75" customHeight="1" thickBot="1" x14ac:dyDescent="0.3">
      <c r="A4" s="95"/>
      <c r="B4" s="9">
        <v>18</v>
      </c>
      <c r="C4" s="10">
        <f>40.47*21</f>
        <v>849.87</v>
      </c>
      <c r="D4" s="11">
        <v>7.48</v>
      </c>
      <c r="E4" s="11">
        <v>1.38</v>
      </c>
      <c r="F4" s="11">
        <v>1.59</v>
      </c>
      <c r="G4" s="11">
        <v>45.1</v>
      </c>
      <c r="H4" s="11">
        <v>2.96</v>
      </c>
      <c r="I4" s="12">
        <v>0.17</v>
      </c>
      <c r="J4" s="13">
        <v>0.81</v>
      </c>
      <c r="K4" s="13">
        <v>0.12</v>
      </c>
      <c r="L4" s="14">
        <v>0.1</v>
      </c>
      <c r="M4" s="15">
        <f t="shared" si="0"/>
        <v>191.05393143239615</v>
      </c>
      <c r="N4" s="16">
        <f t="shared" si="1"/>
        <v>2.518518518518519</v>
      </c>
      <c r="O4" s="126">
        <f t="shared" si="2"/>
        <v>0.86792452830188671</v>
      </c>
    </row>
    <row r="5" spans="1:18" ht="28.5" customHeight="1" thickTop="1" x14ac:dyDescent="0.25">
      <c r="A5" s="94"/>
      <c r="B5" s="1">
        <v>7</v>
      </c>
      <c r="C5" s="17">
        <f>28.91*20</f>
        <v>578.20000000000005</v>
      </c>
      <c r="D5" s="5">
        <v>5.89</v>
      </c>
      <c r="E5" s="5">
        <v>1.29</v>
      </c>
      <c r="F5" s="5">
        <v>2.4</v>
      </c>
      <c r="G5" s="5">
        <v>46.03</v>
      </c>
      <c r="H5" s="5">
        <v>3.18</v>
      </c>
      <c r="I5" s="5">
        <v>0.19</v>
      </c>
      <c r="J5" s="18">
        <v>0.44</v>
      </c>
      <c r="K5" s="18">
        <v>0.34</v>
      </c>
      <c r="L5" s="19">
        <v>0.12</v>
      </c>
      <c r="M5" s="8">
        <f t="shared" si="0"/>
        <v>235.15648149094218</v>
      </c>
      <c r="N5" s="8">
        <f t="shared" si="1"/>
        <v>1.5962059620596205</v>
      </c>
      <c r="O5" s="125">
        <f t="shared" si="2"/>
        <v>0.53750000000000009</v>
      </c>
    </row>
    <row r="6" spans="1:18" ht="28.5" customHeight="1" x14ac:dyDescent="0.25">
      <c r="A6" s="96"/>
      <c r="B6" s="20">
        <v>8</v>
      </c>
      <c r="C6" s="21">
        <f>31.55*25</f>
        <v>788.75</v>
      </c>
      <c r="D6" s="22">
        <v>6.49</v>
      </c>
      <c r="E6" s="22">
        <v>1.3</v>
      </c>
      <c r="F6" s="22">
        <v>1.86</v>
      </c>
      <c r="G6" s="22">
        <v>46.97</v>
      </c>
      <c r="H6" s="22">
        <v>2.38</v>
      </c>
      <c r="I6" s="22">
        <v>0.19</v>
      </c>
      <c r="J6" s="22">
        <v>0.34</v>
      </c>
      <c r="K6" s="22">
        <v>0.14000000000000001</v>
      </c>
      <c r="L6" s="23">
        <v>0.11</v>
      </c>
      <c r="M6" s="24">
        <f t="shared" si="0"/>
        <v>224.57566339947408</v>
      </c>
      <c r="N6" s="24">
        <f t="shared" si="1"/>
        <v>2.0537974683544302</v>
      </c>
      <c r="O6" s="127">
        <f t="shared" si="2"/>
        <v>0.69892473118279563</v>
      </c>
    </row>
    <row r="7" spans="1:18" ht="28.5" customHeight="1" x14ac:dyDescent="0.25">
      <c r="A7" s="96"/>
      <c r="B7" s="128">
        <v>9</v>
      </c>
      <c r="C7" s="21">
        <f>33.16*28</f>
        <v>928.4799999999999</v>
      </c>
      <c r="D7" s="22">
        <v>6.88</v>
      </c>
      <c r="E7" s="22">
        <v>1.3</v>
      </c>
      <c r="F7" s="22">
        <v>1.57</v>
      </c>
      <c r="G7" s="22">
        <v>46.16</v>
      </c>
      <c r="H7" s="22">
        <v>2.89</v>
      </c>
      <c r="I7" s="22">
        <v>0.14000000000000001</v>
      </c>
      <c r="J7" s="22">
        <v>0.28000000000000003</v>
      </c>
      <c r="K7" s="22">
        <v>0.18</v>
      </c>
      <c r="L7" s="23">
        <v>0.1</v>
      </c>
      <c r="M7" s="25">
        <f t="shared" si="0"/>
        <v>211.56358136443842</v>
      </c>
      <c r="N7" s="26">
        <f t="shared" si="1"/>
        <v>2.3972125435540068</v>
      </c>
      <c r="O7" s="49">
        <f t="shared" si="2"/>
        <v>0.82802547770700641</v>
      </c>
    </row>
    <row r="8" spans="1:18" ht="28.5" customHeight="1" x14ac:dyDescent="0.25">
      <c r="A8" s="96"/>
      <c r="B8" s="20">
        <v>10</v>
      </c>
      <c r="C8" s="21">
        <f>37.49*29</f>
        <v>1087.21</v>
      </c>
      <c r="D8" s="22">
        <v>5.49</v>
      </c>
      <c r="E8" s="22">
        <v>1.26</v>
      </c>
      <c r="F8" s="22">
        <v>1.35</v>
      </c>
      <c r="G8" s="22">
        <v>47.18</v>
      </c>
      <c r="H8" s="22">
        <v>3.26</v>
      </c>
      <c r="I8" s="22">
        <v>0.14000000000000001</v>
      </c>
      <c r="J8" s="22">
        <v>0.41</v>
      </c>
      <c r="K8" s="22">
        <v>0.12</v>
      </c>
      <c r="L8" s="23">
        <v>0.1</v>
      </c>
      <c r="M8" s="27">
        <f t="shared" si="0"/>
        <v>266.0081302188168</v>
      </c>
      <c r="N8" s="27">
        <f t="shared" si="1"/>
        <v>2.103448275862069</v>
      </c>
      <c r="O8" s="48">
        <f t="shared" si="2"/>
        <v>0.93333333333333324</v>
      </c>
    </row>
    <row r="9" spans="1:18" ht="28.35" customHeight="1" x14ac:dyDescent="0.25">
      <c r="A9" s="96"/>
      <c r="B9" s="20">
        <v>11</v>
      </c>
      <c r="C9" s="21">
        <f>39.97*25</f>
        <v>999.25</v>
      </c>
      <c r="D9" s="22">
        <v>5.74</v>
      </c>
      <c r="E9" s="22">
        <v>1.31</v>
      </c>
      <c r="F9" s="22">
        <v>1.19</v>
      </c>
      <c r="G9" s="22">
        <v>46.6</v>
      </c>
      <c r="H9" s="22">
        <v>3.27</v>
      </c>
      <c r="I9" s="22">
        <v>0.15</v>
      </c>
      <c r="J9" s="28">
        <v>0.55000000000000004</v>
      </c>
      <c r="K9" s="28">
        <v>0.09</v>
      </c>
      <c r="L9" s="29">
        <v>0.1</v>
      </c>
      <c r="M9" s="27">
        <f t="shared" si="0"/>
        <v>253.38067455807914</v>
      </c>
      <c r="N9" s="27">
        <f t="shared" si="1"/>
        <v>2.2960000000000003</v>
      </c>
      <c r="O9" s="48">
        <f t="shared" si="2"/>
        <v>1.1008403361344539</v>
      </c>
    </row>
    <row r="10" spans="1:18" ht="27.6" customHeight="1" x14ac:dyDescent="0.25">
      <c r="A10" s="96"/>
      <c r="B10" s="30">
        <v>12</v>
      </c>
      <c r="C10" s="31">
        <f>40.55*24</f>
        <v>973.19999999999993</v>
      </c>
      <c r="D10" s="32">
        <v>6.07</v>
      </c>
      <c r="E10" s="32">
        <v>1.39</v>
      </c>
      <c r="F10" s="32">
        <v>1.27</v>
      </c>
      <c r="G10" s="32">
        <v>46.5</v>
      </c>
      <c r="H10" s="32">
        <v>3.26</v>
      </c>
      <c r="I10" s="32">
        <v>0.18</v>
      </c>
      <c r="J10" s="33">
        <v>0.53</v>
      </c>
      <c r="K10" s="33">
        <v>0.11</v>
      </c>
      <c r="L10" s="34">
        <v>0.1</v>
      </c>
      <c r="M10" s="27">
        <f t="shared" si="0"/>
        <v>238.93082310383986</v>
      </c>
      <c r="N10" s="27">
        <f t="shared" si="1"/>
        <v>2.2819548872180451</v>
      </c>
      <c r="O10" s="48">
        <f t="shared" si="2"/>
        <v>1.0944881889763778</v>
      </c>
    </row>
    <row r="11" spans="1:18" ht="29.85" customHeight="1" x14ac:dyDescent="0.25">
      <c r="A11" s="96"/>
      <c r="B11" s="20">
        <v>13</v>
      </c>
      <c r="C11" s="21">
        <f>36.22*26</f>
        <v>941.72</v>
      </c>
      <c r="D11" s="22">
        <v>6.09</v>
      </c>
      <c r="E11" s="22">
        <v>1.28</v>
      </c>
      <c r="F11" s="22">
        <v>1.44</v>
      </c>
      <c r="G11" s="22">
        <v>46.6</v>
      </c>
      <c r="H11" s="22">
        <v>3.24</v>
      </c>
      <c r="I11" s="22">
        <v>0.15</v>
      </c>
      <c r="J11" s="28">
        <v>0.47</v>
      </c>
      <c r="K11" s="28">
        <v>0.17</v>
      </c>
      <c r="L11" s="29">
        <v>0.11</v>
      </c>
      <c r="M11" s="35">
        <f t="shared" si="0"/>
        <v>238.99396873589629</v>
      </c>
      <c r="N11" s="27">
        <f t="shared" si="1"/>
        <v>2.2389705882352944</v>
      </c>
      <c r="O11" s="48">
        <f t="shared" si="2"/>
        <v>0.88888888888888895</v>
      </c>
    </row>
    <row r="12" spans="1:18" ht="26.25" customHeight="1" x14ac:dyDescent="0.25">
      <c r="A12" s="96"/>
      <c r="B12" s="30">
        <v>14</v>
      </c>
      <c r="C12" s="31">
        <f>36.65*23</f>
        <v>842.94999999999993</v>
      </c>
      <c r="D12" s="32">
        <v>6.53</v>
      </c>
      <c r="E12" s="32">
        <v>1.29</v>
      </c>
      <c r="F12" s="32">
        <v>1.57</v>
      </c>
      <c r="G12" s="32">
        <v>46.67</v>
      </c>
      <c r="H12" s="32">
        <v>2.33</v>
      </c>
      <c r="I12" s="32">
        <v>0.15</v>
      </c>
      <c r="J12" s="33">
        <v>0.56000000000000005</v>
      </c>
      <c r="K12" s="33">
        <v>0.18</v>
      </c>
      <c r="L12" s="34">
        <v>0.11</v>
      </c>
      <c r="M12" s="36">
        <f t="shared" si="0"/>
        <v>224.08734941205276</v>
      </c>
      <c r="N12" s="35">
        <f t="shared" si="1"/>
        <v>2.2832167832167829</v>
      </c>
      <c r="O12" s="48">
        <f t="shared" si="2"/>
        <v>0.82165605095541405</v>
      </c>
    </row>
    <row r="13" spans="1:18" ht="25.35" customHeight="1" x14ac:dyDescent="0.25">
      <c r="A13" s="96"/>
      <c r="B13" s="20">
        <v>15</v>
      </c>
      <c r="C13" s="21">
        <f>34.76*13</f>
        <v>451.88</v>
      </c>
      <c r="D13" s="22">
        <v>5.84</v>
      </c>
      <c r="E13" s="22">
        <v>1.21</v>
      </c>
      <c r="F13" s="22">
        <v>1.71</v>
      </c>
      <c r="G13" s="22">
        <v>46.49</v>
      </c>
      <c r="H13" s="22">
        <v>3.72</v>
      </c>
      <c r="I13" s="22">
        <v>0.19</v>
      </c>
      <c r="J13" s="28">
        <v>0.36</v>
      </c>
      <c r="K13" s="28">
        <v>0.17</v>
      </c>
      <c r="L13" s="29">
        <v>0.1</v>
      </c>
      <c r="M13" s="37">
        <f t="shared" si="0"/>
        <v>246.09211647689676</v>
      </c>
      <c r="N13" s="26">
        <f t="shared" si="1"/>
        <v>2</v>
      </c>
      <c r="O13" s="49">
        <f t="shared" si="2"/>
        <v>0.70760233918128657</v>
      </c>
    </row>
    <row r="14" spans="1:18" ht="28.5" customHeight="1" x14ac:dyDescent="0.25">
      <c r="A14" s="96"/>
      <c r="B14" s="20">
        <v>16</v>
      </c>
      <c r="C14" s="21">
        <f>29.33*7</f>
        <v>205.31</v>
      </c>
      <c r="D14" s="22">
        <v>5.14</v>
      </c>
      <c r="E14" s="22">
        <v>1.2</v>
      </c>
      <c r="F14" s="22">
        <v>1.65</v>
      </c>
      <c r="G14" s="22">
        <v>46.84</v>
      </c>
      <c r="H14" s="22">
        <v>3.67</v>
      </c>
      <c r="I14" s="22">
        <v>0.12</v>
      </c>
      <c r="J14" s="28">
        <v>0.49</v>
      </c>
      <c r="K14" s="28">
        <v>0.4</v>
      </c>
      <c r="L14" s="29">
        <v>0.11</v>
      </c>
      <c r="M14" s="37">
        <f t="shared" si="0"/>
        <v>277.47993246645541</v>
      </c>
      <c r="N14" s="26">
        <f t="shared" si="1"/>
        <v>1.8035087719298246</v>
      </c>
      <c r="O14" s="49">
        <f t="shared" si="2"/>
        <v>0.72727272727272729</v>
      </c>
    </row>
    <row r="15" spans="1:18" ht="30" customHeight="1" x14ac:dyDescent="0.25">
      <c r="A15" s="96"/>
      <c r="B15" s="20">
        <v>17</v>
      </c>
      <c r="C15" s="21">
        <f>39.32*25</f>
        <v>983</v>
      </c>
      <c r="D15" s="22">
        <v>4.9800000000000004</v>
      </c>
      <c r="E15" s="22">
        <v>1.33</v>
      </c>
      <c r="F15" s="22">
        <v>1.21</v>
      </c>
      <c r="G15" s="22">
        <v>47.61</v>
      </c>
      <c r="H15" s="22">
        <v>2.81</v>
      </c>
      <c r="I15" s="22">
        <v>0.15</v>
      </c>
      <c r="J15" s="22">
        <v>0.49</v>
      </c>
      <c r="K15" s="22">
        <v>7.0000000000000007E-2</v>
      </c>
      <c r="L15" s="23">
        <v>0.09</v>
      </c>
      <c r="M15" s="37">
        <f t="shared" si="0"/>
        <v>292.08768151951853</v>
      </c>
      <c r="N15" s="26">
        <f t="shared" si="1"/>
        <v>1.9606299212598426</v>
      </c>
      <c r="O15" s="49">
        <f t="shared" si="2"/>
        <v>1.0991735537190084</v>
      </c>
    </row>
    <row r="16" spans="1:18" ht="28.35" customHeight="1" thickBot="1" x14ac:dyDescent="0.3">
      <c r="A16" s="95"/>
      <c r="B16" s="38">
        <v>18</v>
      </c>
      <c r="C16" s="39">
        <f>38.3*23</f>
        <v>880.9</v>
      </c>
      <c r="D16" s="40">
        <v>6.5</v>
      </c>
      <c r="E16" s="40">
        <v>1.22</v>
      </c>
      <c r="F16" s="40">
        <v>1.43</v>
      </c>
      <c r="G16" s="40">
        <v>46.12</v>
      </c>
      <c r="H16" s="12">
        <v>3.35</v>
      </c>
      <c r="I16" s="12">
        <v>0.28999999999999998</v>
      </c>
      <c r="J16" s="40">
        <v>0.46</v>
      </c>
      <c r="K16" s="40">
        <v>0.13</v>
      </c>
      <c r="L16" s="41">
        <v>0.1</v>
      </c>
      <c r="M16" s="42">
        <f t="shared" si="0"/>
        <v>224.21982488295552</v>
      </c>
      <c r="N16" s="16">
        <f t="shared" si="1"/>
        <v>2.4528301886792452</v>
      </c>
      <c r="O16" s="126">
        <f t="shared" si="2"/>
        <v>0.85314685314685312</v>
      </c>
      <c r="R16" s="129"/>
    </row>
    <row r="17" spans="1:962" ht="28.35" customHeight="1" thickTop="1" x14ac:dyDescent="0.25">
      <c r="A17" s="97"/>
      <c r="B17" s="1">
        <v>7</v>
      </c>
      <c r="C17" s="17">
        <f>40.45*10</f>
        <v>404.5</v>
      </c>
      <c r="D17" s="5">
        <v>12.38</v>
      </c>
      <c r="E17" s="5">
        <v>1.23</v>
      </c>
      <c r="F17" s="5">
        <v>1.04</v>
      </c>
      <c r="G17" s="5">
        <v>43.54</v>
      </c>
      <c r="H17" s="5">
        <v>2.95</v>
      </c>
      <c r="I17" s="5">
        <v>0.15</v>
      </c>
      <c r="J17" s="5">
        <v>0.47</v>
      </c>
      <c r="K17" s="5">
        <v>0.06</v>
      </c>
      <c r="L17" s="43">
        <v>7.0000000000000007E-2</v>
      </c>
      <c r="M17" s="44">
        <f t="shared" si="0"/>
        <v>118.34287360633191</v>
      </c>
      <c r="N17" s="45">
        <f t="shared" si="1"/>
        <v>5.4537444933920707</v>
      </c>
      <c r="O17" s="130">
        <f t="shared" si="2"/>
        <v>1.1826923076923077</v>
      </c>
      <c r="Q17" s="131"/>
      <c r="R17" s="129"/>
      <c r="S17" s="131"/>
      <c r="T17" s="131"/>
      <c r="U17" s="131"/>
      <c r="V17" s="131"/>
      <c r="W17" s="131"/>
      <c r="X17" s="131"/>
      <c r="Y17" s="131"/>
      <c r="Z17" s="131"/>
    </row>
    <row r="18" spans="1:962" s="132" customFormat="1" ht="29.1" customHeight="1" thickBot="1" x14ac:dyDescent="0.3">
      <c r="A18" s="98"/>
      <c r="B18" s="20">
        <v>8</v>
      </c>
      <c r="C18" s="21">
        <f>40.21*27</f>
        <v>1085.67</v>
      </c>
      <c r="D18" s="22">
        <v>14.92</v>
      </c>
      <c r="E18" s="22">
        <v>1.24</v>
      </c>
      <c r="F18" s="22">
        <v>1.01</v>
      </c>
      <c r="G18" s="22">
        <v>43.06</v>
      </c>
      <c r="H18" s="22">
        <v>2.2599999999999998</v>
      </c>
      <c r="I18" s="22">
        <v>0.16</v>
      </c>
      <c r="J18" s="22">
        <v>0.46</v>
      </c>
      <c r="K18" s="22">
        <v>0.04</v>
      </c>
      <c r="L18" s="23">
        <v>7.0000000000000007E-2</v>
      </c>
      <c r="M18" s="46">
        <f t="shared" si="0"/>
        <v>98.096168873033122</v>
      </c>
      <c r="N18" s="26">
        <f t="shared" si="1"/>
        <v>6.6311111111111112</v>
      </c>
      <c r="O18" s="49">
        <f t="shared" si="2"/>
        <v>1.2277227722772277</v>
      </c>
      <c r="P18" s="115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115"/>
      <c r="CD18" s="115"/>
      <c r="CE18" s="115"/>
      <c r="CF18" s="115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115"/>
      <c r="CU18" s="115"/>
      <c r="CV18" s="115"/>
      <c r="CW18" s="115"/>
      <c r="CX18" s="115"/>
      <c r="CY18" s="115"/>
      <c r="CZ18" s="115"/>
      <c r="DA18" s="115"/>
      <c r="DB18" s="115"/>
      <c r="DC18" s="115"/>
      <c r="DD18" s="115"/>
      <c r="DE18" s="115"/>
      <c r="DF18" s="115"/>
      <c r="DG18" s="115"/>
      <c r="DH18" s="115"/>
      <c r="DI18" s="115"/>
      <c r="DJ18" s="115"/>
      <c r="DK18" s="115"/>
      <c r="DL18" s="115"/>
      <c r="DM18" s="115"/>
      <c r="DN18" s="115"/>
      <c r="DO18" s="115"/>
      <c r="DP18" s="115"/>
      <c r="DQ18" s="115"/>
      <c r="DR18" s="115"/>
      <c r="DS18" s="115"/>
      <c r="DT18" s="115"/>
      <c r="DU18" s="115"/>
      <c r="DV18" s="115"/>
      <c r="DW18" s="115"/>
      <c r="DX18" s="115"/>
      <c r="DY18" s="115"/>
      <c r="DZ18" s="115"/>
      <c r="EA18" s="115"/>
      <c r="EB18" s="115"/>
      <c r="EC18" s="115"/>
      <c r="ED18" s="115"/>
      <c r="EE18" s="115"/>
      <c r="EF18" s="115"/>
      <c r="EG18" s="115"/>
      <c r="EH18" s="115"/>
      <c r="EI18" s="115"/>
      <c r="EJ18" s="115"/>
      <c r="EK18" s="115"/>
      <c r="EL18" s="115"/>
      <c r="EM18" s="115"/>
      <c r="EN18" s="115"/>
      <c r="EO18" s="115"/>
      <c r="EP18" s="115"/>
      <c r="EQ18" s="115"/>
      <c r="ER18" s="115"/>
      <c r="ES18" s="115"/>
      <c r="ET18" s="115"/>
      <c r="EU18" s="115"/>
      <c r="EV18" s="115"/>
      <c r="EW18" s="115"/>
      <c r="EX18" s="115"/>
      <c r="EY18" s="115"/>
      <c r="EZ18" s="115"/>
      <c r="FA18" s="115"/>
      <c r="FB18" s="115"/>
      <c r="FC18" s="115"/>
      <c r="FD18" s="115"/>
      <c r="FE18" s="115"/>
      <c r="FF18" s="115"/>
      <c r="FG18" s="115"/>
      <c r="FH18" s="115"/>
      <c r="FI18" s="115"/>
      <c r="FJ18" s="115"/>
      <c r="FK18" s="115"/>
      <c r="FL18" s="115"/>
      <c r="FM18" s="115"/>
      <c r="FN18" s="115"/>
      <c r="FO18" s="115"/>
      <c r="FP18" s="115"/>
      <c r="FQ18" s="115"/>
      <c r="FR18" s="115"/>
      <c r="FS18" s="115"/>
      <c r="FT18" s="115"/>
      <c r="FU18" s="115"/>
      <c r="FV18" s="115"/>
      <c r="FW18" s="115"/>
      <c r="FX18" s="115"/>
      <c r="FY18" s="115"/>
      <c r="FZ18" s="115"/>
      <c r="GA18" s="115"/>
      <c r="GB18" s="115"/>
      <c r="GC18" s="115"/>
      <c r="GD18" s="115"/>
      <c r="GE18" s="115"/>
      <c r="GF18" s="115"/>
      <c r="GG18" s="115"/>
      <c r="GH18" s="115"/>
      <c r="GI18" s="115"/>
      <c r="GJ18" s="115"/>
      <c r="GK18" s="115"/>
      <c r="GL18" s="115"/>
      <c r="GM18" s="115"/>
      <c r="GN18" s="115"/>
      <c r="GO18" s="115"/>
      <c r="GP18" s="115"/>
      <c r="GQ18" s="115"/>
      <c r="GR18" s="115"/>
      <c r="GS18" s="115"/>
      <c r="GT18" s="115"/>
      <c r="GU18" s="115"/>
      <c r="GV18" s="115"/>
      <c r="GW18" s="115"/>
      <c r="GX18" s="115"/>
      <c r="GY18" s="115"/>
      <c r="GZ18" s="115"/>
      <c r="HA18" s="115"/>
      <c r="HB18" s="115"/>
      <c r="HC18" s="115"/>
      <c r="HD18" s="115"/>
      <c r="HE18" s="115"/>
      <c r="HF18" s="115"/>
      <c r="HG18" s="115"/>
      <c r="HH18" s="115"/>
      <c r="HI18" s="115"/>
      <c r="HJ18" s="115"/>
      <c r="HK18" s="115"/>
      <c r="HL18" s="115"/>
      <c r="HM18" s="115"/>
      <c r="HN18" s="115"/>
      <c r="HO18" s="115"/>
      <c r="HP18" s="115"/>
      <c r="HQ18" s="115"/>
      <c r="HR18" s="115"/>
      <c r="HS18" s="115"/>
      <c r="HT18" s="115"/>
      <c r="HU18" s="115"/>
      <c r="HV18" s="115"/>
      <c r="HW18" s="115"/>
      <c r="HX18" s="115"/>
      <c r="HY18" s="115"/>
      <c r="HZ18" s="115"/>
      <c r="IA18" s="115"/>
      <c r="IB18" s="115"/>
      <c r="IC18" s="115"/>
      <c r="ID18" s="115"/>
      <c r="IE18" s="115"/>
      <c r="IF18" s="115"/>
      <c r="IG18" s="115"/>
      <c r="IH18" s="115"/>
      <c r="II18" s="115"/>
      <c r="IJ18" s="115"/>
      <c r="IK18" s="115"/>
      <c r="IL18" s="115"/>
      <c r="IM18" s="115"/>
      <c r="IN18" s="115"/>
      <c r="IO18" s="115"/>
      <c r="IP18" s="115"/>
      <c r="IQ18" s="115"/>
      <c r="IR18" s="115"/>
      <c r="IS18" s="115"/>
      <c r="IT18" s="115"/>
      <c r="IU18" s="115"/>
      <c r="IV18" s="115"/>
      <c r="IW18" s="115"/>
      <c r="IX18" s="115"/>
      <c r="IY18" s="115"/>
      <c r="IZ18" s="115"/>
      <c r="JA18" s="115"/>
      <c r="JB18" s="115"/>
      <c r="JC18" s="115"/>
      <c r="JD18" s="115"/>
      <c r="JE18" s="115"/>
      <c r="JF18" s="115"/>
      <c r="JG18" s="115"/>
      <c r="JH18" s="115"/>
      <c r="JI18" s="115"/>
      <c r="JJ18" s="115"/>
      <c r="JK18" s="115"/>
      <c r="JL18" s="115"/>
      <c r="JM18" s="115"/>
      <c r="JN18" s="115"/>
      <c r="JO18" s="115"/>
      <c r="JP18" s="115"/>
      <c r="JQ18" s="115"/>
      <c r="JR18" s="115"/>
      <c r="JS18" s="115"/>
      <c r="JT18" s="115"/>
      <c r="JU18" s="115"/>
      <c r="JV18" s="115"/>
      <c r="JW18" s="115"/>
      <c r="JX18" s="115"/>
      <c r="JY18" s="115"/>
      <c r="JZ18" s="115"/>
      <c r="KA18" s="115"/>
      <c r="KB18" s="115"/>
      <c r="KC18" s="115"/>
      <c r="KD18" s="115"/>
      <c r="KE18" s="115"/>
      <c r="KF18" s="115"/>
      <c r="KG18" s="115"/>
      <c r="KH18" s="115"/>
      <c r="KI18" s="115"/>
      <c r="KJ18" s="115"/>
      <c r="KK18" s="115"/>
      <c r="KL18" s="115"/>
      <c r="KM18" s="115"/>
      <c r="KN18" s="115"/>
      <c r="KO18" s="115"/>
      <c r="KP18" s="115"/>
      <c r="KQ18" s="115"/>
      <c r="KR18" s="115"/>
      <c r="KS18" s="115"/>
      <c r="KT18" s="115"/>
      <c r="KU18" s="115"/>
      <c r="KV18" s="115"/>
      <c r="KW18" s="115"/>
      <c r="KX18" s="115"/>
      <c r="KY18" s="115"/>
      <c r="KZ18" s="115"/>
      <c r="LA18" s="115"/>
      <c r="LB18" s="115"/>
      <c r="LC18" s="115"/>
      <c r="LD18" s="115"/>
      <c r="LE18" s="115"/>
      <c r="LF18" s="115"/>
      <c r="LG18" s="115"/>
      <c r="LH18" s="115"/>
      <c r="LI18" s="115"/>
      <c r="LJ18" s="115"/>
      <c r="LK18" s="115"/>
      <c r="LL18" s="115"/>
      <c r="LM18" s="115"/>
      <c r="LN18" s="115"/>
      <c r="LO18" s="115"/>
      <c r="LP18" s="115"/>
      <c r="LQ18" s="115"/>
      <c r="LR18" s="115"/>
      <c r="LS18" s="115"/>
      <c r="LT18" s="115"/>
      <c r="LU18" s="115"/>
      <c r="LV18" s="115"/>
      <c r="LW18" s="115"/>
      <c r="LX18" s="115"/>
      <c r="LY18" s="115"/>
      <c r="LZ18" s="115"/>
      <c r="MA18" s="115"/>
      <c r="MB18" s="115"/>
      <c r="MC18" s="115"/>
      <c r="MD18" s="115"/>
      <c r="ME18" s="115"/>
      <c r="MF18" s="115"/>
      <c r="MG18" s="115"/>
      <c r="MH18" s="115"/>
      <c r="MI18" s="115"/>
      <c r="MJ18" s="115"/>
      <c r="MK18" s="115"/>
      <c r="ML18" s="115"/>
      <c r="MM18" s="115"/>
      <c r="MN18" s="115"/>
      <c r="MO18" s="115"/>
      <c r="MP18" s="115"/>
      <c r="MQ18" s="115"/>
      <c r="MR18" s="115"/>
      <c r="MS18" s="115"/>
      <c r="MT18" s="115"/>
      <c r="MU18" s="115"/>
      <c r="MV18" s="115"/>
      <c r="MW18" s="115"/>
      <c r="MX18" s="115"/>
      <c r="MY18" s="115"/>
      <c r="MZ18" s="115"/>
      <c r="NA18" s="115"/>
      <c r="NB18" s="115"/>
      <c r="NC18" s="115"/>
      <c r="ND18" s="115"/>
      <c r="NE18" s="115"/>
      <c r="NF18" s="115"/>
      <c r="NG18" s="115"/>
      <c r="NH18" s="115"/>
      <c r="NI18" s="115"/>
      <c r="NJ18" s="115"/>
      <c r="NK18" s="115"/>
      <c r="NL18" s="115"/>
      <c r="NM18" s="115"/>
      <c r="NN18" s="115"/>
      <c r="NO18" s="115"/>
      <c r="NP18" s="115"/>
      <c r="NQ18" s="115"/>
      <c r="NR18" s="115"/>
      <c r="NS18" s="115"/>
      <c r="NT18" s="115"/>
      <c r="NU18" s="115"/>
      <c r="NV18" s="115"/>
      <c r="NW18" s="115"/>
      <c r="NX18" s="115"/>
      <c r="NY18" s="115"/>
      <c r="NZ18" s="115"/>
      <c r="OA18" s="115"/>
      <c r="OB18" s="115"/>
      <c r="OC18" s="115"/>
      <c r="OD18" s="115"/>
      <c r="OE18" s="115"/>
      <c r="OF18" s="115"/>
      <c r="OG18" s="115"/>
      <c r="OH18" s="115"/>
      <c r="OI18" s="115"/>
      <c r="OJ18" s="115"/>
      <c r="OK18" s="115"/>
      <c r="OL18" s="115"/>
      <c r="OM18" s="115"/>
      <c r="ON18" s="115"/>
      <c r="OO18" s="115"/>
      <c r="OP18" s="115"/>
      <c r="OQ18" s="115"/>
      <c r="OR18" s="115"/>
      <c r="OS18" s="115"/>
      <c r="OT18" s="115"/>
      <c r="OU18" s="115"/>
      <c r="OV18" s="115"/>
      <c r="OW18" s="115"/>
      <c r="OX18" s="115"/>
      <c r="OY18" s="115"/>
      <c r="OZ18" s="115"/>
      <c r="PA18" s="115"/>
      <c r="PB18" s="115"/>
      <c r="PC18" s="115"/>
      <c r="PD18" s="115"/>
      <c r="PE18" s="115"/>
      <c r="PF18" s="115"/>
      <c r="PG18" s="115"/>
      <c r="PH18" s="115"/>
      <c r="PI18" s="115"/>
      <c r="PJ18" s="115"/>
      <c r="PK18" s="115"/>
      <c r="PL18" s="115"/>
      <c r="PM18" s="115"/>
      <c r="PN18" s="115"/>
      <c r="PO18" s="115"/>
      <c r="PP18" s="115"/>
      <c r="PQ18" s="115"/>
      <c r="PR18" s="115"/>
      <c r="PS18" s="115"/>
      <c r="PT18" s="115"/>
      <c r="PU18" s="115"/>
      <c r="PV18" s="115"/>
      <c r="PW18" s="115"/>
      <c r="PX18" s="115"/>
      <c r="PY18" s="115"/>
      <c r="PZ18" s="115"/>
      <c r="QA18" s="115"/>
      <c r="QB18" s="115"/>
      <c r="QC18" s="115"/>
      <c r="QD18" s="115"/>
      <c r="QE18" s="115"/>
      <c r="QF18" s="115"/>
      <c r="QG18" s="115"/>
      <c r="QH18" s="115"/>
      <c r="QI18" s="115"/>
      <c r="QJ18" s="115"/>
      <c r="QK18" s="115"/>
      <c r="QL18" s="115"/>
      <c r="QM18" s="115"/>
      <c r="QN18" s="115"/>
      <c r="QO18" s="115"/>
      <c r="QP18" s="115"/>
      <c r="QQ18" s="115"/>
      <c r="QR18" s="115"/>
      <c r="QS18" s="115"/>
      <c r="QT18" s="115"/>
      <c r="QU18" s="115"/>
      <c r="QV18" s="115"/>
      <c r="QW18" s="115"/>
      <c r="QX18" s="115"/>
      <c r="QY18" s="115"/>
      <c r="QZ18" s="115"/>
      <c r="RA18" s="115"/>
      <c r="RB18" s="115"/>
      <c r="RC18" s="115"/>
      <c r="RD18" s="115"/>
      <c r="RE18" s="115"/>
      <c r="RF18" s="115"/>
      <c r="RG18" s="115"/>
      <c r="RH18" s="115"/>
      <c r="RI18" s="115"/>
      <c r="RJ18" s="115"/>
      <c r="RK18" s="115"/>
      <c r="RL18" s="115"/>
      <c r="RM18" s="115"/>
      <c r="RN18" s="115"/>
      <c r="RO18" s="115"/>
      <c r="RP18" s="115"/>
      <c r="RQ18" s="115"/>
      <c r="RR18" s="115"/>
      <c r="RS18" s="115"/>
      <c r="RT18" s="115"/>
      <c r="RU18" s="115"/>
      <c r="RV18" s="115"/>
      <c r="RW18" s="115"/>
      <c r="RX18" s="115"/>
      <c r="RY18" s="115"/>
      <c r="RZ18" s="115"/>
      <c r="SA18" s="115"/>
      <c r="SB18" s="115"/>
      <c r="SC18" s="115"/>
      <c r="SD18" s="115"/>
      <c r="SE18" s="115"/>
      <c r="SF18" s="115"/>
      <c r="SG18" s="115"/>
      <c r="SH18" s="115"/>
      <c r="SI18" s="115"/>
      <c r="SJ18" s="115"/>
      <c r="SK18" s="115"/>
      <c r="SL18" s="115"/>
      <c r="SM18" s="115"/>
      <c r="SN18" s="115"/>
      <c r="SO18" s="115"/>
      <c r="SP18" s="115"/>
      <c r="SQ18" s="115"/>
      <c r="SR18" s="115"/>
      <c r="SS18" s="115"/>
      <c r="ST18" s="115"/>
      <c r="SU18" s="115"/>
      <c r="SV18" s="115"/>
      <c r="SW18" s="115"/>
      <c r="SX18" s="115"/>
      <c r="SY18" s="115"/>
      <c r="SZ18" s="115"/>
      <c r="TA18" s="115"/>
      <c r="TB18" s="115"/>
      <c r="TC18" s="115"/>
      <c r="TD18" s="115"/>
      <c r="TE18" s="115"/>
      <c r="TF18" s="115"/>
      <c r="TG18" s="115"/>
      <c r="TH18" s="115"/>
      <c r="TI18" s="115"/>
      <c r="TJ18" s="115"/>
      <c r="TK18" s="115"/>
      <c r="TL18" s="115"/>
      <c r="TM18" s="115"/>
      <c r="TN18" s="115"/>
      <c r="TO18" s="115"/>
      <c r="TP18" s="115"/>
      <c r="TQ18" s="115"/>
      <c r="TR18" s="115"/>
      <c r="TS18" s="115"/>
      <c r="TT18" s="115"/>
      <c r="TU18" s="115"/>
      <c r="TV18" s="115"/>
      <c r="TW18" s="115"/>
      <c r="TX18" s="115"/>
      <c r="TY18" s="115"/>
      <c r="TZ18" s="115"/>
      <c r="UA18" s="115"/>
      <c r="UB18" s="115"/>
      <c r="UC18" s="115"/>
      <c r="UD18" s="115"/>
      <c r="UE18" s="115"/>
      <c r="UF18" s="115"/>
      <c r="UG18" s="115"/>
      <c r="UH18" s="115"/>
      <c r="UI18" s="115"/>
      <c r="UJ18" s="115"/>
      <c r="UK18" s="115"/>
      <c r="UL18" s="115"/>
      <c r="UM18" s="115"/>
      <c r="UN18" s="115"/>
      <c r="UO18" s="115"/>
      <c r="UP18" s="115"/>
      <c r="UQ18" s="115"/>
      <c r="UR18" s="115"/>
      <c r="US18" s="115"/>
      <c r="UT18" s="115"/>
      <c r="UU18" s="115"/>
      <c r="UV18" s="115"/>
      <c r="UW18" s="115"/>
      <c r="UX18" s="115"/>
      <c r="UY18" s="115"/>
      <c r="UZ18" s="115"/>
      <c r="VA18" s="115"/>
      <c r="VB18" s="115"/>
      <c r="VC18" s="115"/>
      <c r="VD18" s="115"/>
      <c r="VE18" s="115"/>
      <c r="VF18" s="115"/>
      <c r="VG18" s="115"/>
      <c r="VH18" s="115"/>
      <c r="VI18" s="115"/>
      <c r="VJ18" s="115"/>
      <c r="VK18" s="115"/>
      <c r="VL18" s="115"/>
      <c r="VM18" s="115"/>
      <c r="VN18" s="115"/>
      <c r="VO18" s="115"/>
      <c r="VP18" s="115"/>
      <c r="VQ18" s="115"/>
      <c r="VR18" s="115"/>
      <c r="VS18" s="115"/>
      <c r="VT18" s="115"/>
      <c r="VU18" s="115"/>
      <c r="VV18" s="115"/>
      <c r="VW18" s="115"/>
      <c r="VX18" s="115"/>
      <c r="VY18" s="115"/>
      <c r="VZ18" s="115"/>
      <c r="WA18" s="115"/>
      <c r="WB18" s="115"/>
      <c r="WC18" s="115"/>
      <c r="WD18" s="115"/>
      <c r="WE18" s="115"/>
      <c r="WF18" s="115"/>
      <c r="WG18" s="115"/>
      <c r="WH18" s="115"/>
      <c r="WI18" s="115"/>
      <c r="WJ18" s="115"/>
      <c r="WK18" s="115"/>
      <c r="WL18" s="115"/>
      <c r="WM18" s="115"/>
      <c r="WN18" s="115"/>
      <c r="WO18" s="115"/>
      <c r="WP18" s="115"/>
      <c r="WQ18" s="115"/>
      <c r="WR18" s="115"/>
      <c r="WS18" s="115"/>
      <c r="WT18" s="115"/>
      <c r="WU18" s="115"/>
      <c r="WV18" s="115"/>
      <c r="WW18" s="115"/>
      <c r="WX18" s="115"/>
      <c r="WY18" s="115"/>
      <c r="WZ18" s="115"/>
      <c r="XA18" s="115"/>
      <c r="XB18" s="115"/>
      <c r="XC18" s="115"/>
      <c r="XD18" s="115"/>
      <c r="XE18" s="115"/>
      <c r="XF18" s="115"/>
      <c r="XG18" s="115"/>
      <c r="XH18" s="115"/>
      <c r="XI18" s="115"/>
      <c r="XJ18" s="115"/>
      <c r="XK18" s="115"/>
      <c r="XL18" s="115"/>
      <c r="XM18" s="115"/>
      <c r="XN18" s="115"/>
      <c r="XO18" s="115"/>
      <c r="XP18" s="115"/>
      <c r="XQ18" s="115"/>
      <c r="XR18" s="115"/>
      <c r="XS18" s="115"/>
      <c r="XT18" s="115"/>
      <c r="XU18" s="115"/>
      <c r="XV18" s="115"/>
      <c r="XW18" s="115"/>
      <c r="XX18" s="115"/>
      <c r="XY18" s="115"/>
      <c r="XZ18" s="115"/>
      <c r="YA18" s="115"/>
      <c r="YB18" s="115"/>
      <c r="YC18" s="115"/>
      <c r="YD18" s="115"/>
      <c r="YE18" s="115"/>
      <c r="YF18" s="115"/>
      <c r="YG18" s="115"/>
      <c r="YH18" s="115"/>
      <c r="YI18" s="115"/>
      <c r="YJ18" s="115"/>
      <c r="YK18" s="115"/>
      <c r="YL18" s="115"/>
      <c r="YM18" s="115"/>
      <c r="YN18" s="115"/>
      <c r="YO18" s="115"/>
      <c r="YP18" s="115"/>
      <c r="YQ18" s="115"/>
      <c r="YR18" s="115"/>
      <c r="YS18" s="115"/>
      <c r="YT18" s="115"/>
      <c r="YU18" s="115"/>
      <c r="YV18" s="115"/>
      <c r="YW18" s="115"/>
      <c r="YX18" s="115"/>
      <c r="YY18" s="115"/>
      <c r="YZ18" s="115"/>
      <c r="ZA18" s="115"/>
      <c r="ZB18" s="115"/>
      <c r="ZC18" s="115"/>
      <c r="ZD18" s="115"/>
      <c r="ZE18" s="115"/>
      <c r="ZF18" s="115"/>
      <c r="ZG18" s="115"/>
      <c r="ZH18" s="115"/>
      <c r="ZI18" s="115"/>
      <c r="ZJ18" s="115"/>
      <c r="ZK18" s="115"/>
      <c r="ZL18" s="115"/>
      <c r="ZM18" s="115"/>
      <c r="ZN18" s="115"/>
      <c r="ZO18" s="115"/>
      <c r="ZP18" s="115"/>
      <c r="ZQ18" s="115"/>
      <c r="ZR18" s="115"/>
      <c r="ZS18" s="115"/>
      <c r="ZT18" s="115"/>
      <c r="ZU18" s="115"/>
      <c r="ZV18" s="115"/>
      <c r="ZW18" s="115"/>
      <c r="ZX18" s="115"/>
      <c r="ZY18" s="115"/>
      <c r="ZZ18" s="115"/>
      <c r="AAA18" s="115"/>
      <c r="AAB18" s="115"/>
      <c r="AAC18" s="115"/>
      <c r="AAD18" s="115"/>
      <c r="AAE18" s="115"/>
      <c r="AAF18" s="115"/>
      <c r="AAG18" s="115"/>
      <c r="AAH18" s="115"/>
      <c r="AAI18" s="115"/>
      <c r="AAJ18" s="115"/>
      <c r="AAK18" s="115"/>
      <c r="AAL18" s="115"/>
      <c r="AAM18" s="115"/>
      <c r="AAN18" s="115"/>
      <c r="AAO18" s="115"/>
      <c r="AAP18" s="115"/>
      <c r="AAQ18" s="115"/>
      <c r="AAR18" s="115"/>
      <c r="AAS18" s="115"/>
      <c r="AAT18" s="115"/>
      <c r="AAU18" s="115"/>
      <c r="AAV18" s="115"/>
      <c r="AAW18" s="115"/>
      <c r="AAX18" s="115"/>
      <c r="AAY18" s="115"/>
      <c r="AAZ18" s="115"/>
      <c r="ABA18" s="115"/>
      <c r="ABB18" s="115"/>
      <c r="ABC18" s="115"/>
      <c r="ABD18" s="115"/>
      <c r="ABE18" s="115"/>
      <c r="ABF18" s="115"/>
      <c r="ABG18" s="115"/>
      <c r="ABH18" s="115"/>
      <c r="ABI18" s="115"/>
      <c r="ABJ18" s="115"/>
      <c r="ABK18" s="115"/>
      <c r="ABL18" s="115"/>
      <c r="ABM18" s="115"/>
      <c r="ABN18" s="115"/>
      <c r="ABO18" s="115"/>
      <c r="ABP18" s="115"/>
      <c r="ABQ18" s="115"/>
      <c r="ABR18" s="115"/>
      <c r="ABS18" s="115"/>
      <c r="ABT18" s="115"/>
      <c r="ABU18" s="115"/>
      <c r="ABV18" s="115"/>
      <c r="ABW18" s="115"/>
      <c r="ABX18" s="115"/>
      <c r="ABY18" s="115"/>
      <c r="ABZ18" s="115"/>
      <c r="ACA18" s="115"/>
      <c r="ACB18" s="115"/>
      <c r="ACC18" s="115"/>
      <c r="ACD18" s="115"/>
      <c r="ACE18" s="115"/>
      <c r="ACF18" s="115"/>
      <c r="ACG18" s="115"/>
      <c r="ACH18" s="115"/>
      <c r="ACI18" s="115"/>
      <c r="ACJ18" s="115"/>
      <c r="ACK18" s="115"/>
      <c r="ACL18" s="115"/>
      <c r="ACM18" s="115"/>
      <c r="ACN18" s="115"/>
      <c r="ACO18" s="115"/>
      <c r="ACP18" s="115"/>
      <c r="ACQ18" s="115"/>
      <c r="ACR18" s="115"/>
      <c r="ACS18" s="115"/>
      <c r="ACT18" s="115"/>
      <c r="ACU18" s="115"/>
      <c r="ACV18" s="115"/>
      <c r="ACW18" s="115"/>
      <c r="ACX18" s="115"/>
      <c r="ACY18" s="115"/>
      <c r="ACZ18" s="115"/>
      <c r="ADA18" s="115"/>
      <c r="ADB18" s="115"/>
      <c r="ADC18" s="115"/>
      <c r="ADD18" s="115"/>
      <c r="ADE18" s="115"/>
      <c r="ADF18" s="115"/>
      <c r="ADG18" s="115"/>
      <c r="ADH18" s="115"/>
      <c r="ADI18" s="115"/>
      <c r="ADJ18" s="115"/>
      <c r="ADK18" s="115"/>
      <c r="ADL18" s="115"/>
      <c r="ADM18" s="115"/>
      <c r="ADN18" s="115"/>
      <c r="ADO18" s="115"/>
      <c r="ADP18" s="115"/>
      <c r="ADQ18" s="115"/>
      <c r="ADR18" s="115"/>
      <c r="ADS18" s="115"/>
      <c r="ADT18" s="115"/>
      <c r="ADU18" s="115"/>
      <c r="ADV18" s="115"/>
      <c r="ADW18" s="115"/>
      <c r="ADX18" s="115"/>
      <c r="ADY18" s="115"/>
      <c r="ADZ18" s="115"/>
      <c r="AEA18" s="115"/>
      <c r="AEB18" s="115"/>
      <c r="AEC18" s="115"/>
      <c r="AED18" s="115"/>
      <c r="AEE18" s="115"/>
      <c r="AEF18" s="115"/>
      <c r="AEG18" s="115"/>
      <c r="AEH18" s="115"/>
      <c r="AEI18" s="115"/>
      <c r="AEJ18" s="115"/>
      <c r="AEK18" s="115"/>
      <c r="AEL18" s="115"/>
      <c r="AEM18" s="115"/>
      <c r="AEN18" s="115"/>
      <c r="AEO18" s="115"/>
      <c r="AEP18" s="115"/>
      <c r="AEQ18" s="115"/>
      <c r="AER18" s="115"/>
      <c r="AES18" s="115"/>
      <c r="AET18" s="115"/>
      <c r="AEU18" s="115"/>
      <c r="AEV18" s="115"/>
      <c r="AEW18" s="115"/>
      <c r="AEX18" s="115"/>
      <c r="AEY18" s="115"/>
      <c r="AEZ18" s="115"/>
      <c r="AFA18" s="115"/>
      <c r="AFB18" s="115"/>
      <c r="AFC18" s="115"/>
      <c r="AFD18" s="115"/>
      <c r="AFE18" s="115"/>
      <c r="AFF18" s="115"/>
      <c r="AFG18" s="115"/>
      <c r="AFH18" s="115"/>
      <c r="AFI18" s="115"/>
      <c r="AFJ18" s="115"/>
      <c r="AFK18" s="115"/>
      <c r="AFL18" s="115"/>
      <c r="AFM18" s="115"/>
      <c r="AFN18" s="115"/>
      <c r="AFO18" s="115"/>
      <c r="AFP18" s="115"/>
      <c r="AFQ18" s="115"/>
      <c r="AFR18" s="115"/>
      <c r="AFS18" s="115"/>
      <c r="AFT18" s="115"/>
      <c r="AFU18" s="115"/>
      <c r="AFV18" s="115"/>
      <c r="AFW18" s="115"/>
      <c r="AFX18" s="115"/>
      <c r="AFY18" s="115"/>
      <c r="AFZ18" s="115"/>
      <c r="AGA18" s="115"/>
      <c r="AGB18" s="115"/>
      <c r="AGC18" s="115"/>
      <c r="AGD18" s="115"/>
      <c r="AGE18" s="115"/>
      <c r="AGF18" s="115"/>
      <c r="AGG18" s="115"/>
      <c r="AGH18" s="115"/>
      <c r="AGI18" s="115"/>
      <c r="AGJ18" s="115"/>
      <c r="AGK18" s="115"/>
      <c r="AGL18" s="115"/>
      <c r="AGM18" s="115"/>
      <c r="AGN18" s="115"/>
      <c r="AGO18" s="115"/>
      <c r="AGP18" s="115"/>
      <c r="AGQ18" s="115"/>
      <c r="AGR18" s="115"/>
      <c r="AGS18" s="115"/>
      <c r="AGT18" s="115"/>
      <c r="AGU18" s="115"/>
      <c r="AGV18" s="115"/>
      <c r="AGW18" s="115"/>
      <c r="AGX18" s="115"/>
      <c r="AGY18" s="115"/>
      <c r="AGZ18" s="115"/>
      <c r="AHA18" s="115"/>
      <c r="AHB18" s="115"/>
      <c r="AHC18" s="115"/>
      <c r="AHD18" s="115"/>
      <c r="AHE18" s="115"/>
      <c r="AHF18" s="115"/>
      <c r="AHG18" s="115"/>
      <c r="AHH18" s="115"/>
      <c r="AHI18" s="115"/>
      <c r="AHJ18" s="115"/>
      <c r="AHK18" s="115"/>
      <c r="AHL18" s="115"/>
      <c r="AHM18" s="115"/>
      <c r="AHN18" s="115"/>
      <c r="AHO18" s="115"/>
      <c r="AHP18" s="115"/>
      <c r="AHQ18" s="115"/>
      <c r="AHR18" s="115"/>
      <c r="AHS18" s="115"/>
      <c r="AHT18" s="115"/>
      <c r="AHU18" s="115"/>
      <c r="AHV18" s="115"/>
      <c r="AHW18" s="115"/>
      <c r="AHX18" s="115"/>
      <c r="AHY18" s="115"/>
      <c r="AHZ18" s="115"/>
      <c r="AIA18" s="115"/>
      <c r="AIB18" s="115"/>
      <c r="AIC18" s="115"/>
      <c r="AID18" s="115"/>
      <c r="AIE18" s="115"/>
      <c r="AIF18" s="115"/>
      <c r="AIG18" s="115"/>
      <c r="AIH18" s="115"/>
      <c r="AII18" s="115"/>
      <c r="AIJ18" s="115"/>
      <c r="AIK18" s="115"/>
      <c r="AIL18" s="115"/>
      <c r="AIM18" s="115"/>
      <c r="AIN18" s="115"/>
      <c r="AIO18" s="115"/>
      <c r="AIP18" s="115"/>
      <c r="AIQ18" s="115"/>
      <c r="AIR18" s="115"/>
      <c r="AIS18" s="115"/>
      <c r="AIT18" s="115"/>
      <c r="AIU18" s="115"/>
      <c r="AIV18" s="115"/>
      <c r="AIW18" s="115"/>
      <c r="AIX18" s="115"/>
      <c r="AIY18" s="115"/>
      <c r="AIZ18" s="115"/>
      <c r="AJA18" s="115"/>
      <c r="AJB18" s="115"/>
      <c r="AJC18" s="115"/>
      <c r="AJD18" s="115"/>
      <c r="AJE18" s="115"/>
      <c r="AJF18" s="115"/>
      <c r="AJG18" s="115"/>
      <c r="AJH18" s="115"/>
      <c r="AJI18" s="115"/>
      <c r="AJJ18" s="115"/>
      <c r="AJK18" s="115"/>
      <c r="AJL18" s="115"/>
      <c r="AJM18" s="115"/>
      <c r="AJN18" s="115"/>
      <c r="AJO18" s="115"/>
      <c r="AJP18" s="115"/>
      <c r="AJQ18" s="115"/>
      <c r="AJR18" s="115"/>
      <c r="AJS18" s="115"/>
      <c r="AJT18" s="115"/>
      <c r="AJU18" s="115"/>
      <c r="AJV18" s="115"/>
      <c r="AJW18" s="115"/>
      <c r="AJX18" s="115"/>
      <c r="AJY18" s="115"/>
      <c r="AJZ18" s="115"/>
    </row>
    <row r="19" spans="1:962" ht="29.1" customHeight="1" thickTop="1" x14ac:dyDescent="0.25">
      <c r="A19" s="98"/>
      <c r="B19" s="128">
        <v>9</v>
      </c>
      <c r="C19" s="21">
        <f>42.45*27</f>
        <v>1146.1500000000001</v>
      </c>
      <c r="D19" s="22">
        <v>14.84</v>
      </c>
      <c r="E19" s="22">
        <v>1.22</v>
      </c>
      <c r="F19" s="22">
        <v>1.03</v>
      </c>
      <c r="G19" s="22">
        <v>43.19</v>
      </c>
      <c r="H19" s="22">
        <v>1.9</v>
      </c>
      <c r="I19" s="22">
        <v>0.16</v>
      </c>
      <c r="J19" s="28">
        <v>0.41</v>
      </c>
      <c r="K19" s="28">
        <v>0.04</v>
      </c>
      <c r="L19" s="29">
        <v>7.0000000000000007E-2</v>
      </c>
      <c r="M19" s="25">
        <f t="shared" si="0"/>
        <v>98.921007487214027</v>
      </c>
      <c r="N19" s="26">
        <f t="shared" si="1"/>
        <v>6.5955555555555554</v>
      </c>
      <c r="O19" s="49">
        <f t="shared" si="2"/>
        <v>1.1844660194174756</v>
      </c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962" ht="27.75" customHeight="1" x14ac:dyDescent="0.25">
      <c r="A20" s="98"/>
      <c r="B20" s="20">
        <v>10</v>
      </c>
      <c r="C20" s="21">
        <f>42.39*29</f>
        <v>1229.31</v>
      </c>
      <c r="D20" s="22">
        <v>14</v>
      </c>
      <c r="E20" s="22">
        <v>1.23</v>
      </c>
      <c r="F20" s="22">
        <v>1.07</v>
      </c>
      <c r="G20" s="22">
        <v>43.42</v>
      </c>
      <c r="H20" s="22">
        <v>1.96</v>
      </c>
      <c r="I20" s="22">
        <v>0.25</v>
      </c>
      <c r="J20" s="28">
        <v>0.39</v>
      </c>
      <c r="K20" s="28">
        <v>0.04</v>
      </c>
      <c r="L20" s="29">
        <v>7.0000000000000007E-2</v>
      </c>
      <c r="M20" s="27">
        <f t="shared" si="0"/>
        <v>105.01391881858133</v>
      </c>
      <c r="N20" s="27">
        <f t="shared" si="1"/>
        <v>6.0869565217391308</v>
      </c>
      <c r="O20" s="48">
        <f t="shared" si="2"/>
        <v>1.1495327102803738</v>
      </c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962" ht="29.1" customHeight="1" x14ac:dyDescent="0.25">
      <c r="A21" s="98"/>
      <c r="B21" s="20">
        <v>11</v>
      </c>
      <c r="C21" s="21">
        <f>39.55*27</f>
        <v>1067.8499999999999</v>
      </c>
      <c r="D21" s="22">
        <v>5.61</v>
      </c>
      <c r="E21" s="22">
        <v>1.27</v>
      </c>
      <c r="F21" s="22">
        <v>1.2</v>
      </c>
      <c r="G21" s="22">
        <v>47.54</v>
      </c>
      <c r="H21" s="22">
        <v>2.77</v>
      </c>
      <c r="I21" s="22">
        <v>0.14000000000000001</v>
      </c>
      <c r="J21" s="28">
        <v>0.47</v>
      </c>
      <c r="K21" s="28">
        <v>7.0000000000000007E-2</v>
      </c>
      <c r="L21" s="29">
        <v>0.09</v>
      </c>
      <c r="M21" s="25">
        <f t="shared" si="0"/>
        <v>264.30787363926476</v>
      </c>
      <c r="N21" s="26">
        <f t="shared" si="1"/>
        <v>2.2712550607287452</v>
      </c>
      <c r="O21" s="49">
        <f t="shared" si="2"/>
        <v>1.0583333333333333</v>
      </c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962" ht="29.1" customHeight="1" x14ac:dyDescent="0.25">
      <c r="A22" s="98"/>
      <c r="B22" s="20">
        <v>12</v>
      </c>
      <c r="C22" s="21">
        <f>40.1*25</f>
        <v>1002.5</v>
      </c>
      <c r="D22" s="22">
        <v>5.6</v>
      </c>
      <c r="E22" s="22">
        <v>1.27</v>
      </c>
      <c r="F22" s="22">
        <v>1.17</v>
      </c>
      <c r="G22" s="22">
        <v>47.55</v>
      </c>
      <c r="H22" s="22">
        <v>2.46</v>
      </c>
      <c r="I22" s="22">
        <v>0.14000000000000001</v>
      </c>
      <c r="J22" s="28">
        <v>0.53</v>
      </c>
      <c r="K22" s="28">
        <v>7.0000000000000007E-2</v>
      </c>
      <c r="L22" s="29">
        <v>0.1</v>
      </c>
      <c r="M22" s="47">
        <f t="shared" si="0"/>
        <v>265.06346472231047</v>
      </c>
      <c r="N22" s="27">
        <f t="shared" si="1"/>
        <v>2.2950819672131146</v>
      </c>
      <c r="O22" s="48">
        <f t="shared" si="2"/>
        <v>1.0854700854700856</v>
      </c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962" ht="32.25" customHeight="1" x14ac:dyDescent="0.25">
      <c r="A23" s="98"/>
      <c r="B23" s="20">
        <v>13</v>
      </c>
      <c r="C23" s="21">
        <f>36.6*21</f>
        <v>768.6</v>
      </c>
      <c r="D23" s="22">
        <v>5.0999999999999996</v>
      </c>
      <c r="E23" s="22">
        <v>1.3</v>
      </c>
      <c r="F23" s="22">
        <v>1.37</v>
      </c>
      <c r="G23" s="22">
        <v>47.53</v>
      </c>
      <c r="H23" s="22">
        <v>2.79</v>
      </c>
      <c r="I23" s="22">
        <v>0.14000000000000001</v>
      </c>
      <c r="J23" s="28">
        <v>0.51</v>
      </c>
      <c r="K23" s="28">
        <v>0.13</v>
      </c>
      <c r="L23" s="28">
        <v>0.1</v>
      </c>
      <c r="M23" s="25">
        <f t="shared" si="0"/>
        <v>284.53410757580292</v>
      </c>
      <c r="N23" s="26">
        <f t="shared" si="1"/>
        <v>1.9101123595505618</v>
      </c>
      <c r="O23" s="49">
        <f t="shared" si="2"/>
        <v>0.94890510948905105</v>
      </c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962" ht="29.1" customHeight="1" x14ac:dyDescent="0.25">
      <c r="A24" s="98"/>
      <c r="B24" s="20">
        <v>14</v>
      </c>
      <c r="C24" s="21">
        <f>41.61*24</f>
        <v>998.64</v>
      </c>
      <c r="D24" s="22">
        <v>5.64</v>
      </c>
      <c r="E24" s="22">
        <v>1.34</v>
      </c>
      <c r="F24" s="22">
        <v>1.1499999999999999</v>
      </c>
      <c r="G24" s="22">
        <v>46.85</v>
      </c>
      <c r="H24" s="22">
        <v>3.21</v>
      </c>
      <c r="I24" s="22">
        <v>0.14000000000000001</v>
      </c>
      <c r="J24" s="28">
        <v>0.55000000000000004</v>
      </c>
      <c r="K24" s="28">
        <v>0.06</v>
      </c>
      <c r="L24" s="29">
        <v>0.09</v>
      </c>
      <c r="M24" s="25">
        <f t="shared" si="0"/>
        <v>258.54409597863224</v>
      </c>
      <c r="N24" s="26">
        <f t="shared" si="1"/>
        <v>2.2650602409638552</v>
      </c>
      <c r="O24" s="49">
        <f t="shared" si="2"/>
        <v>1.165217391304348</v>
      </c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962" ht="29.1" customHeight="1" x14ac:dyDescent="0.25">
      <c r="A25" s="98"/>
      <c r="B25" s="20">
        <v>15</v>
      </c>
      <c r="C25" s="21">
        <f>36.93*15</f>
        <v>553.95000000000005</v>
      </c>
      <c r="D25" s="22">
        <v>7.05</v>
      </c>
      <c r="E25" s="22">
        <v>1.22</v>
      </c>
      <c r="F25" s="22">
        <v>1.56</v>
      </c>
      <c r="G25" s="22">
        <v>46.46</v>
      </c>
      <c r="H25" s="22">
        <v>3.13</v>
      </c>
      <c r="I25" s="22">
        <v>0.16</v>
      </c>
      <c r="J25" s="28">
        <v>0.5</v>
      </c>
      <c r="K25" s="28">
        <v>0.1</v>
      </c>
      <c r="L25" s="29">
        <v>0.1</v>
      </c>
      <c r="M25" s="27">
        <f t="shared" si="0"/>
        <v>209.33962944272227</v>
      </c>
      <c r="N25" s="27">
        <f t="shared" si="1"/>
        <v>2.5359712230215825</v>
      </c>
      <c r="O25" s="48">
        <f t="shared" si="2"/>
        <v>0.78205128205128205</v>
      </c>
    </row>
    <row r="26" spans="1:962" ht="28.35" customHeight="1" x14ac:dyDescent="0.25">
      <c r="A26" s="98"/>
      <c r="B26" s="20">
        <v>16</v>
      </c>
      <c r="C26" s="21">
        <f>36.73*2</f>
        <v>73.459999999999994</v>
      </c>
      <c r="D26" s="22">
        <v>6.86</v>
      </c>
      <c r="E26" s="22">
        <v>1.2</v>
      </c>
      <c r="F26" s="22">
        <v>1.94</v>
      </c>
      <c r="G26" s="22">
        <v>47.5</v>
      </c>
      <c r="H26" s="22">
        <v>1.07</v>
      </c>
      <c r="I26" s="22">
        <v>0.11</v>
      </c>
      <c r="J26" s="28">
        <v>0.97</v>
      </c>
      <c r="K26" s="28">
        <v>0.05</v>
      </c>
      <c r="L26" s="29">
        <v>0.09</v>
      </c>
      <c r="M26" s="26">
        <f t="shared" si="0"/>
        <v>217.04363719442543</v>
      </c>
      <c r="N26" s="26">
        <f t="shared" si="1"/>
        <v>2.1847133757961785</v>
      </c>
      <c r="O26" s="49">
        <f t="shared" si="2"/>
        <v>0.61855670103092786</v>
      </c>
    </row>
    <row r="27" spans="1:962" ht="28.5" customHeight="1" x14ac:dyDescent="0.25">
      <c r="A27" s="98"/>
      <c r="B27" s="20">
        <v>17</v>
      </c>
      <c r="C27" s="21">
        <f>39.84*21</f>
        <v>836.6400000000001</v>
      </c>
      <c r="D27" s="22">
        <v>5.47</v>
      </c>
      <c r="E27" s="22">
        <v>1.2</v>
      </c>
      <c r="F27" s="22">
        <v>1.31</v>
      </c>
      <c r="G27" s="22">
        <v>46.28</v>
      </c>
      <c r="H27" s="22">
        <v>4.6500000000000004</v>
      </c>
      <c r="I27" s="22">
        <v>0.14000000000000001</v>
      </c>
      <c r="J27" s="28">
        <v>0.55000000000000004</v>
      </c>
      <c r="K27" s="28">
        <v>0.17</v>
      </c>
      <c r="L27" s="29">
        <v>0.1</v>
      </c>
      <c r="M27" s="25">
        <f t="shared" si="0"/>
        <v>263.20129667017375</v>
      </c>
      <c r="N27" s="26">
        <f t="shared" si="1"/>
        <v>2.1792828685258967</v>
      </c>
      <c r="O27" s="49">
        <f t="shared" si="2"/>
        <v>0.91603053435114501</v>
      </c>
    </row>
    <row r="28" spans="1:962" ht="28.5" customHeight="1" thickBot="1" x14ac:dyDescent="0.3">
      <c r="A28" s="99"/>
      <c r="B28" s="9">
        <v>18</v>
      </c>
      <c r="C28" s="50">
        <f>30.7*17</f>
        <v>521.9</v>
      </c>
      <c r="D28" s="12">
        <v>6.95</v>
      </c>
      <c r="E28" s="12">
        <v>1.28</v>
      </c>
      <c r="F28" s="12">
        <v>2.59</v>
      </c>
      <c r="G28" s="12">
        <v>45.67</v>
      </c>
      <c r="H28" s="12">
        <v>3.17</v>
      </c>
      <c r="I28" s="12">
        <v>0.22</v>
      </c>
      <c r="J28" s="12">
        <v>0.44</v>
      </c>
      <c r="K28" s="12">
        <v>0.3</v>
      </c>
      <c r="L28" s="51">
        <v>0.12</v>
      </c>
      <c r="M28" s="52">
        <f t="shared" si="0"/>
        <v>201.59884170054605</v>
      </c>
      <c r="N28" s="53">
        <f t="shared" si="1"/>
        <v>1.7958656330749354</v>
      </c>
      <c r="O28" s="54">
        <f t="shared" si="2"/>
        <v>0.49420849420849422</v>
      </c>
      <c r="Q28" s="131"/>
    </row>
    <row r="29" spans="1:962" ht="28.5" customHeight="1" thickTop="1" x14ac:dyDescent="0.25">
      <c r="A29" s="97"/>
      <c r="B29" s="30">
        <v>7</v>
      </c>
      <c r="C29" s="31">
        <f>31.74*16</f>
        <v>507.84</v>
      </c>
      <c r="D29" s="32">
        <v>9.11</v>
      </c>
      <c r="E29" s="32">
        <v>1.42</v>
      </c>
      <c r="F29" s="32">
        <v>2.06</v>
      </c>
      <c r="G29" s="32">
        <v>44.29</v>
      </c>
      <c r="H29" s="32">
        <v>1.82</v>
      </c>
      <c r="I29" s="32">
        <v>0.42</v>
      </c>
      <c r="J29" s="32">
        <v>0.76</v>
      </c>
      <c r="K29" s="32">
        <v>0.34</v>
      </c>
      <c r="L29" s="55">
        <v>0.13</v>
      </c>
      <c r="M29" s="56">
        <f t="shared" si="0"/>
        <v>155.28037415943851</v>
      </c>
      <c r="N29" s="27">
        <f t="shared" si="1"/>
        <v>2.617816091954023</v>
      </c>
      <c r="O29" s="48">
        <f t="shared" si="2"/>
        <v>0.68932038834951448</v>
      </c>
      <c r="Q29" s="131"/>
    </row>
    <row r="30" spans="1:962" ht="29.25" customHeight="1" x14ac:dyDescent="0.25">
      <c r="A30" s="98"/>
      <c r="B30" s="20">
        <v>8</v>
      </c>
      <c r="C30" s="21">
        <f>28.93*29</f>
        <v>838.97</v>
      </c>
      <c r="D30" s="22">
        <v>9.58</v>
      </c>
      <c r="E30" s="22">
        <v>1.3</v>
      </c>
      <c r="F30" s="22">
        <v>2.4300000000000002</v>
      </c>
      <c r="G30" s="22">
        <v>44.86</v>
      </c>
      <c r="H30" s="22">
        <v>1.5</v>
      </c>
      <c r="I30" s="22">
        <v>0.23</v>
      </c>
      <c r="J30" s="22">
        <v>0.66</v>
      </c>
      <c r="K30" s="22">
        <v>0.26</v>
      </c>
      <c r="L30" s="23">
        <v>0.13</v>
      </c>
      <c r="M30" s="25">
        <f t="shared" si="0"/>
        <v>149.84551148225472</v>
      </c>
      <c r="N30" s="26">
        <f t="shared" si="1"/>
        <v>2.5683646112600536</v>
      </c>
      <c r="O30" s="49">
        <f t="shared" si="2"/>
        <v>0.53497942386831276</v>
      </c>
      <c r="P30" s="57"/>
    </row>
    <row r="31" spans="1:962" ht="28.35" customHeight="1" x14ac:dyDescent="0.25">
      <c r="A31" s="98"/>
      <c r="B31" s="20">
        <v>9</v>
      </c>
      <c r="C31" s="21">
        <f>30.82*30</f>
        <v>924.6</v>
      </c>
      <c r="D31" s="22">
        <v>8.6</v>
      </c>
      <c r="E31" s="22">
        <v>1.27</v>
      </c>
      <c r="F31" s="22">
        <v>1.97</v>
      </c>
      <c r="G31" s="22">
        <v>45.48</v>
      </c>
      <c r="H31" s="22">
        <v>1.64</v>
      </c>
      <c r="I31" s="22">
        <v>0.2</v>
      </c>
      <c r="J31" s="22">
        <v>0.56000000000000005</v>
      </c>
      <c r="K31" s="22">
        <v>0.23</v>
      </c>
      <c r="L31" s="23">
        <v>0.12</v>
      </c>
      <c r="M31" s="25">
        <f t="shared" si="0"/>
        <v>169.32808619797387</v>
      </c>
      <c r="N31" s="26">
        <f t="shared" si="1"/>
        <v>2.6543209876543208</v>
      </c>
      <c r="O31" s="49">
        <f t="shared" si="2"/>
        <v>0.64467005076142136</v>
      </c>
    </row>
    <row r="32" spans="1:962" ht="28.5" customHeight="1" thickBot="1" x14ac:dyDescent="0.3">
      <c r="A32" s="99"/>
      <c r="B32" s="128">
        <v>10</v>
      </c>
      <c r="C32" s="21">
        <f>29.59*8</f>
        <v>236.72</v>
      </c>
      <c r="D32" s="22">
        <v>9.7200000000000006</v>
      </c>
      <c r="E32" s="22">
        <v>1.32</v>
      </c>
      <c r="F32" s="22">
        <v>2.48</v>
      </c>
      <c r="G32" s="22">
        <v>44.22</v>
      </c>
      <c r="H32" s="22">
        <v>1.81</v>
      </c>
      <c r="I32" s="22">
        <v>0.39</v>
      </c>
      <c r="J32" s="22">
        <v>0.6</v>
      </c>
      <c r="K32" s="22">
        <v>0.26</v>
      </c>
      <c r="L32" s="23">
        <v>0.13</v>
      </c>
      <c r="M32" s="53">
        <f t="shared" si="0"/>
        <v>145.52946132378494</v>
      </c>
      <c r="N32" s="53">
        <f t="shared" si="1"/>
        <v>2.5578947368421057</v>
      </c>
      <c r="O32" s="54">
        <f t="shared" si="2"/>
        <v>0.53225806451612911</v>
      </c>
    </row>
    <row r="33" spans="1:15" ht="28.35" hidden="1" customHeight="1" x14ac:dyDescent="0.25">
      <c r="A33" s="58"/>
      <c r="B33" s="59"/>
      <c r="C33" s="60"/>
      <c r="D33" s="61"/>
      <c r="E33" s="61"/>
      <c r="F33" s="61"/>
      <c r="G33" s="61"/>
      <c r="H33" s="61"/>
      <c r="I33" s="61"/>
      <c r="J33" s="61"/>
      <c r="K33" s="61"/>
      <c r="L33" s="62"/>
      <c r="M33" s="27" t="str">
        <f t="shared" si="0"/>
        <v/>
      </c>
      <c r="N33" s="27" t="str">
        <f t="shared" si="1"/>
        <v/>
      </c>
      <c r="O33" s="48" t="str">
        <f t="shared" si="2"/>
        <v/>
      </c>
    </row>
    <row r="34" spans="1:15" ht="28.5" hidden="1" customHeight="1" x14ac:dyDescent="0.25">
      <c r="A34" s="58"/>
      <c r="B34" s="63"/>
      <c r="C34" s="64"/>
      <c r="D34" s="65"/>
      <c r="E34" s="65"/>
      <c r="F34" s="65"/>
      <c r="G34" s="65"/>
      <c r="H34" s="65"/>
      <c r="I34" s="65"/>
      <c r="J34" s="65"/>
      <c r="K34" s="65"/>
      <c r="L34" s="66"/>
      <c r="M34" s="27" t="str">
        <f t="shared" si="0"/>
        <v/>
      </c>
      <c r="N34" s="27" t="str">
        <f t="shared" si="1"/>
        <v/>
      </c>
      <c r="O34" s="48" t="str">
        <f t="shared" si="2"/>
        <v/>
      </c>
    </row>
    <row r="35" spans="1:15" ht="28.5" hidden="1" customHeight="1" x14ac:dyDescent="0.25">
      <c r="A35" s="58"/>
      <c r="B35" s="63"/>
      <c r="C35" s="64"/>
      <c r="D35" s="65"/>
      <c r="E35" s="65"/>
      <c r="F35" s="65"/>
      <c r="G35" s="65"/>
      <c r="H35" s="65"/>
      <c r="I35" s="65"/>
      <c r="J35" s="65"/>
      <c r="K35" s="65"/>
      <c r="L35" s="66"/>
      <c r="M35" s="27" t="str">
        <f t="shared" si="0"/>
        <v/>
      </c>
      <c r="N35" s="27" t="str">
        <f t="shared" si="1"/>
        <v/>
      </c>
      <c r="O35" s="48" t="str">
        <f t="shared" si="2"/>
        <v/>
      </c>
    </row>
    <row r="36" spans="1:15" ht="28.5" hidden="1" customHeight="1" x14ac:dyDescent="0.25">
      <c r="A36" s="67"/>
      <c r="B36" s="68"/>
      <c r="C36" s="69"/>
      <c r="D36" s="70"/>
      <c r="E36" s="70"/>
      <c r="F36" s="70"/>
      <c r="G36" s="70"/>
      <c r="H36" s="70"/>
      <c r="I36" s="70"/>
      <c r="J36" s="71"/>
      <c r="K36" s="71"/>
      <c r="L36" s="72"/>
      <c r="M36" s="27" t="str">
        <f t="shared" si="0"/>
        <v/>
      </c>
      <c r="N36" s="27" t="str">
        <f t="shared" si="1"/>
        <v/>
      </c>
      <c r="O36" s="48" t="str">
        <f t="shared" si="2"/>
        <v/>
      </c>
    </row>
    <row r="37" spans="1:15" ht="28.5" hidden="1" customHeight="1" x14ac:dyDescent="0.25">
      <c r="A37" s="67"/>
      <c r="B37" s="68"/>
      <c r="C37" s="69"/>
      <c r="D37" s="70"/>
      <c r="E37" s="70"/>
      <c r="F37" s="70"/>
      <c r="G37" s="70"/>
      <c r="H37" s="70"/>
      <c r="I37" s="70"/>
      <c r="J37" s="71"/>
      <c r="K37" s="71"/>
      <c r="L37" s="72"/>
      <c r="M37" s="27" t="str">
        <f t="shared" si="0"/>
        <v/>
      </c>
      <c r="N37" s="27" t="str">
        <f t="shared" si="1"/>
        <v/>
      </c>
      <c r="O37" s="48" t="str">
        <f t="shared" si="2"/>
        <v/>
      </c>
    </row>
    <row r="38" spans="1:15" ht="28.5" hidden="1" customHeight="1" x14ac:dyDescent="0.25">
      <c r="A38" s="73"/>
      <c r="B38" s="68"/>
      <c r="C38" s="69"/>
      <c r="D38" s="70"/>
      <c r="E38" s="70"/>
      <c r="F38" s="70"/>
      <c r="G38" s="70"/>
      <c r="H38" s="70"/>
      <c r="I38" s="70"/>
      <c r="J38" s="70"/>
      <c r="K38" s="70"/>
      <c r="L38" s="74"/>
      <c r="M38" s="53" t="str">
        <f t="shared" si="0"/>
        <v/>
      </c>
      <c r="N38" s="53" t="str">
        <f t="shared" si="1"/>
        <v/>
      </c>
      <c r="O38" s="54" t="str">
        <f t="shared" si="2"/>
        <v/>
      </c>
    </row>
    <row r="39" spans="1:15" ht="28.5" customHeight="1" thickTop="1" x14ac:dyDescent="0.25">
      <c r="A39" s="100" t="s">
        <v>20</v>
      </c>
      <c r="B39" s="101"/>
      <c r="C39" s="102"/>
      <c r="D39" s="75">
        <f t="shared" ref="D39:O39" si="3">COUNT(D3:D38)</f>
        <v>30</v>
      </c>
      <c r="E39" s="76">
        <f t="shared" si="3"/>
        <v>30</v>
      </c>
      <c r="F39" s="76">
        <f t="shared" si="3"/>
        <v>30</v>
      </c>
      <c r="G39" s="76">
        <f t="shared" si="3"/>
        <v>30</v>
      </c>
      <c r="H39" s="76">
        <f t="shared" si="3"/>
        <v>30</v>
      </c>
      <c r="I39" s="76">
        <f t="shared" si="3"/>
        <v>30</v>
      </c>
      <c r="J39" s="76">
        <f t="shared" si="3"/>
        <v>30</v>
      </c>
      <c r="K39" s="76">
        <f t="shared" si="3"/>
        <v>30</v>
      </c>
      <c r="L39" s="77">
        <f t="shared" si="3"/>
        <v>30</v>
      </c>
      <c r="M39" s="78">
        <f t="shared" si="3"/>
        <v>30</v>
      </c>
      <c r="N39" s="76">
        <f t="shared" si="3"/>
        <v>30</v>
      </c>
      <c r="O39" s="77">
        <f t="shared" si="3"/>
        <v>30</v>
      </c>
    </row>
    <row r="40" spans="1:15" ht="28.5" customHeight="1" x14ac:dyDescent="0.25">
      <c r="A40" s="104" t="s">
        <v>21</v>
      </c>
      <c r="B40" s="105"/>
      <c r="C40" s="103"/>
      <c r="D40" s="79">
        <f t="shared" ref="D40:O40" si="4">MIN(D3:D38)</f>
        <v>4.9800000000000004</v>
      </c>
      <c r="E40" s="80">
        <f t="shared" si="4"/>
        <v>1.2</v>
      </c>
      <c r="F40" s="80">
        <f t="shared" si="4"/>
        <v>1.01</v>
      </c>
      <c r="G40" s="80">
        <f t="shared" si="4"/>
        <v>43.06</v>
      </c>
      <c r="H40" s="80">
        <f t="shared" si="4"/>
        <v>1.07</v>
      </c>
      <c r="I40" s="80">
        <f t="shared" si="4"/>
        <v>0.11</v>
      </c>
      <c r="J40" s="80">
        <f t="shared" si="4"/>
        <v>0.28000000000000003</v>
      </c>
      <c r="K40" s="80">
        <f t="shared" si="4"/>
        <v>0.04</v>
      </c>
      <c r="L40" s="81">
        <f t="shared" si="4"/>
        <v>7.0000000000000007E-2</v>
      </c>
      <c r="M40" s="82">
        <f t="shared" si="4"/>
        <v>98.096168873033122</v>
      </c>
      <c r="N40" s="80">
        <f t="shared" si="4"/>
        <v>1.5962059620596205</v>
      </c>
      <c r="O40" s="81">
        <f t="shared" si="4"/>
        <v>0.49420849420849422</v>
      </c>
    </row>
    <row r="41" spans="1:15" ht="28.5" customHeight="1" thickBot="1" x14ac:dyDescent="0.3">
      <c r="A41" s="106" t="s">
        <v>22</v>
      </c>
      <c r="B41" s="107"/>
      <c r="C41" s="103"/>
      <c r="D41" s="83">
        <f t="shared" ref="D41:O41" si="5">MAX(D3:D38)</f>
        <v>14.92</v>
      </c>
      <c r="E41" s="84">
        <f t="shared" si="5"/>
        <v>1.42</v>
      </c>
      <c r="F41" s="84">
        <f t="shared" si="5"/>
        <v>2.59</v>
      </c>
      <c r="G41" s="84">
        <f t="shared" si="5"/>
        <v>47.61</v>
      </c>
      <c r="H41" s="84">
        <f t="shared" si="5"/>
        <v>4.6500000000000004</v>
      </c>
      <c r="I41" s="84">
        <f t="shared" si="5"/>
        <v>0.42</v>
      </c>
      <c r="J41" s="84">
        <f t="shared" si="5"/>
        <v>0.97</v>
      </c>
      <c r="K41" s="84">
        <f t="shared" si="5"/>
        <v>0.4</v>
      </c>
      <c r="L41" s="85">
        <f t="shared" si="5"/>
        <v>0.13</v>
      </c>
      <c r="M41" s="86">
        <f t="shared" si="5"/>
        <v>292.08768151951853</v>
      </c>
      <c r="N41" s="84">
        <f t="shared" si="5"/>
        <v>6.6311111111111112</v>
      </c>
      <c r="O41" s="85">
        <f t="shared" si="5"/>
        <v>1.2277227722772277</v>
      </c>
    </row>
    <row r="42" spans="1:15" ht="28.5" customHeight="1" thickBot="1" x14ac:dyDescent="0.3">
      <c r="A42" s="133" t="s">
        <v>23</v>
      </c>
      <c r="B42" s="134"/>
      <c r="C42" s="135">
        <f>SUM(C3:C38)</f>
        <v>23275.479999999996</v>
      </c>
      <c r="D42" s="136">
        <f>(D3*$C$3+D4*$C$4+D5*$C$5+D6*$C$6+D7*$C$7+D8*$C$8+D9*$C$9+D10*$C$10+D11*$C$11+D12*$C$12+D13*$C$13+D14*$C$14+D15*$C$15+D16*$C$16+D17*$C$17+D18*$C$18+D19*$C$19+D20*$C$20+D21*$C$21+D22*$C$22+D23*$C$23+D24*$C$24+D25*$C$25+D26*$C$26+D27*$C$27+D28*$C$28+D29*$C$29+D30*$C$30+D31*$C$31+D32*$C$32+D33*$C$33+D34*$C$34+D35*$C$35+D36*$C$36+$D37*$C$37+D38*$C$38)/$C$42</f>
        <v>7.7309190573083786</v>
      </c>
      <c r="E42" s="137">
        <f>(E3*$C$3+E4*$C$4+E5*$C$5+E6*$C$6+E7*$C$7+E8*$C$8+E9*$C$9+E10*$C$10+E11*$C$11+E12*$C$12+E13*$C$13+E14*$C$14+E15*$C$15+E16*$C$16+E17*$C$17+E18*$C$18+E19*$C$19+E20*$C$20+E21*$C$21+E22*$C$22+E23*$C$23+E24*$C$24+E25*$C$25+E26*$C$26+E27*$C$27+E28*$C$28+E29*$C$29+E30*$C$30+E31*$C$31+E32*$C$32+E33*$C$33+E34*$C$34+E35*$C$35+E36*$C$36+E37*$C$37+E38*$C$38)/$C$42</f>
        <v>1.2824423642391047</v>
      </c>
      <c r="F42" s="137">
        <f t="shared" ref="F42:L42" si="6">(F3*$C$3+F4*$C$4+F5*$C$5+F6*$C$6+F7*$C$7+F8*$C$8+F9*$C$9+F10*$C$10+F11*$C$11+F12*$C$12+F13*$C$13+F14*$C$14+F15*$C$15+F16*$C$16+F17*$C$17+F18*$C$18+F19*$C$19+F20*$C$20+F21*$C$21+F22*$C$22+F23*$C$23+F24*$C$24+F25*$C$25+F26*$C$26+F27*$C$27+F28*$C$28+F29*$C$29+F30*$C$30+F31*$C$31+F32*$C$32+F33*$C$33+F34*$C$34+F35*$C$35+F36*$C$36+F37*$C$37+F38*$C$38)/$C$42</f>
        <v>1.4867564192016671</v>
      </c>
      <c r="G42" s="137">
        <f t="shared" si="6"/>
        <v>45.9345682366164</v>
      </c>
      <c r="H42" s="137">
        <f t="shared" si="6"/>
        <v>2.7470893360738429</v>
      </c>
      <c r="I42" s="137">
        <f t="shared" si="6"/>
        <v>0.17790599377542377</v>
      </c>
      <c r="J42" s="137">
        <f t="shared" si="6"/>
        <v>0.50148363427950804</v>
      </c>
      <c r="K42" s="137">
        <f t="shared" si="6"/>
        <v>0.1348546625032008</v>
      </c>
      <c r="L42" s="138">
        <f t="shared" si="6"/>
        <v>9.9138062888498996E-2</v>
      </c>
      <c r="M42" s="139">
        <f>G42/(2.8*D42+1.18*E42+0.65*F42)*100</f>
        <v>190.39251398407887</v>
      </c>
      <c r="N42" s="137">
        <f>D42/(E42+F42)</f>
        <v>2.7917530166261999</v>
      </c>
      <c r="O42" s="140">
        <f>E42/F42</f>
        <v>0.86257731776112223</v>
      </c>
    </row>
    <row r="43" spans="1:15" ht="28.5" customHeight="1" thickBot="1" x14ac:dyDescent="0.3">
      <c r="A43" s="91" t="s">
        <v>24</v>
      </c>
      <c r="B43" s="92"/>
      <c r="C43" s="93"/>
      <c r="D43" s="87">
        <f t="shared" ref="D43:O43" si="7">STDEV(D3:D38)</f>
        <v>2.8977224707071891</v>
      </c>
      <c r="E43" s="88">
        <f t="shared" si="7"/>
        <v>5.729135057384066E-2</v>
      </c>
      <c r="F43" s="88">
        <f t="shared" si="7"/>
        <v>0.46898962074636097</v>
      </c>
      <c r="G43" s="88">
        <f t="shared" si="7"/>
        <v>1.3891934731156514</v>
      </c>
      <c r="H43" s="88">
        <f t="shared" si="7"/>
        <v>0.76668153408872719</v>
      </c>
      <c r="I43" s="88">
        <f t="shared" si="7"/>
        <v>7.2213763135616241E-2</v>
      </c>
      <c r="J43" s="88">
        <f t="shared" si="7"/>
        <v>0.14168769282774865</v>
      </c>
      <c r="K43" s="88">
        <f t="shared" si="7"/>
        <v>9.8727536365401228E-2</v>
      </c>
      <c r="L43" s="89">
        <f t="shared" si="7"/>
        <v>1.7237355852380926E-2</v>
      </c>
      <c r="M43" s="90">
        <f t="shared" si="7"/>
        <v>57.25471970404115</v>
      </c>
      <c r="N43" s="88">
        <f t="shared" si="7"/>
        <v>1.4123761070467558</v>
      </c>
      <c r="O43" s="89">
        <f t="shared" si="7"/>
        <v>0.22847701496916425</v>
      </c>
    </row>
    <row r="44" spans="1:15" ht="19.5" customHeight="1" x14ac:dyDescent="0.25">
      <c r="D44" s="131"/>
    </row>
    <row r="45" spans="1:15" ht="19.5" customHeight="1" x14ac:dyDescent="0.25">
      <c r="D45" s="131"/>
      <c r="E45" s="141"/>
    </row>
    <row r="46" spans="1:15" ht="26.25" customHeight="1" x14ac:dyDescent="0.3">
      <c r="B46" s="131"/>
      <c r="C46" s="141"/>
      <c r="D46" s="142"/>
      <c r="E46" s="141"/>
      <c r="G46" s="143"/>
      <c r="I46" s="143"/>
      <c r="J46" s="143"/>
    </row>
    <row r="48" spans="1:15" ht="17.850000000000001" customHeight="1" x14ac:dyDescent="0.3">
      <c r="E48" s="142"/>
    </row>
  </sheetData>
  <mergeCells count="11">
    <mergeCell ref="A2:C2"/>
    <mergeCell ref="A42:B42"/>
    <mergeCell ref="A43:C43"/>
    <mergeCell ref="A3:A4"/>
    <mergeCell ref="A5:A16"/>
    <mergeCell ref="A17:A28"/>
    <mergeCell ref="A29:A32"/>
    <mergeCell ref="A39:B39"/>
    <mergeCell ref="C39:C41"/>
    <mergeCell ref="A40:B40"/>
    <mergeCell ref="A41:B41"/>
  </mergeCells>
  <conditionalFormatting sqref="F3:F31">
    <cfRule type="cellIs" dxfId="5" priority="2" operator="greaterThan">
      <formula>2</formula>
    </cfRule>
  </conditionalFormatting>
  <conditionalFormatting sqref="H3:H25">
    <cfRule type="cellIs" dxfId="4" priority="4" operator="greaterThan">
      <formula>3</formula>
    </cfRule>
  </conditionalFormatting>
  <conditionalFormatting sqref="H3:H31">
    <cfRule type="cellIs" dxfId="3" priority="3" operator="greaterThan">
      <formula>2.9</formula>
    </cfRule>
  </conditionalFormatting>
  <conditionalFormatting sqref="I3:I31">
    <cfRule type="cellIs" dxfId="2" priority="1" operator="greaterThan">
      <formula>0.25</formula>
    </cfRule>
  </conditionalFormatting>
  <conditionalFormatting sqref="M42">
    <cfRule type="cellIs" dxfId="1" priority="6" operator="between">
      <formula>2</formula>
      <formula>179</formula>
    </cfRule>
  </conditionalFormatting>
  <conditionalFormatting sqref="N42">
    <cfRule type="cellIs" dxfId="0" priority="5" operator="between">
      <formula>1</formula>
      <formula>2.7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Gaweesh</dc:creator>
  <cp:lastModifiedBy>Mahmoud Gaweesh</cp:lastModifiedBy>
  <dcterms:created xsi:type="dcterms:W3CDTF">2015-06-05T18:17:20Z</dcterms:created>
  <dcterms:modified xsi:type="dcterms:W3CDTF">2025-12-10T06:01:49Z</dcterms:modified>
</cp:coreProperties>
</file>